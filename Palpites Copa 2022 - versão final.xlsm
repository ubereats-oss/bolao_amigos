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/Users/bruno1.hd/Downloads/"/>
    </mc:Choice>
  </mc:AlternateContent>
  <xr:revisionPtr revIDLastSave="0" documentId="13_ncr:1_{C1E0B084-432A-BA49-8EE7-FC46D122DD56}" xr6:coauthVersionLast="47" xr6:coauthVersionMax="47" xr10:uidLastSave="{00000000-0000-0000-0000-000000000000}"/>
  <workbookProtection workbookAlgorithmName="SHA-512" workbookHashValue="LEeprFTTIYE106ouYPHCo9C7PeOGzgKsQ0OtVM6S0nBZ8LlTxHj6v09Ud6srh1blXCbMa6TzHUe/lwjaD9O5fw==" workbookSaltValue="KVjBJQdDCIJoha/GRZh73w==" workbookSpinCount="100000" lockStructure="1"/>
  <bookViews>
    <workbookView xWindow="0" yWindow="0" windowWidth="28800" windowHeight="18000" tabRatio="670" xr2:uid="{00000000-000D-0000-FFFF-FFFF00000000}"/>
  </bookViews>
  <sheets>
    <sheet name="Regulamento" sheetId="7" r:id="rId1"/>
    <sheet name="Tabela" sheetId="1" r:id="rId2"/>
    <sheet name="Palpites extras" sheetId="8" r:id="rId3"/>
    <sheet name="Países" sheetId="9" state="hidden" r:id="rId4"/>
    <sheet name="   " sheetId="4" state="hidden" r:id="rId5"/>
    <sheet name="Jogo" sheetId="2" state="hidden" r:id="rId6"/>
    <sheet name="time" sheetId="6" state="hidden" r:id="rId7"/>
    <sheet name="Mais Tabelas" sheetId="5" state="hidden" r:id="rId8"/>
  </sheets>
  <definedNames>
    <definedName name="_AI7">Jogo!#REF!</definedName>
    <definedName name="África_Sul_against">(#REF!,#REF!,#REF!)</definedName>
    <definedName name="África_Sul_played">(#REF!,#REF!,#REF!)</definedName>
    <definedName name="Alemanha_against">(#REF!,#REF!,#REF!)</definedName>
    <definedName name="Alemanha_played">(#REF!,#REF!,#REF!)</definedName>
    <definedName name="Arábia_Saudita_against">(#REF!,#REF!,#REF!)</definedName>
    <definedName name="Arábia_Saudita_played">(#REF!,#REF!,#REF!)</definedName>
    <definedName name="Argentina_against">(#REF!,#REF!,#REF!)</definedName>
    <definedName name="Argentina_played">(#REF!,#REF!,#REF!)</definedName>
    <definedName name="ask">Jogo!#REF!</definedName>
    <definedName name="B5I">Jogo!$K$58</definedName>
    <definedName name="Bélgica_against">(#REF!,#REF!,#REF!)</definedName>
    <definedName name="Bélgica_played">(#REF!,#REF!,#REF!)</definedName>
    <definedName name="BR20I4">Tabela!$O$78</definedName>
    <definedName name="Brasil">Tabela!$W$2</definedName>
    <definedName name="Brasil_against">(#REF!,#REF!,#REF!)</definedName>
    <definedName name="Brasil_played">(#REF!,#REF!,#REF!)</definedName>
    <definedName name="Camarões_against">(#REF!,#REF!,#REF!)</definedName>
    <definedName name="Camarões_played">(#REF!,#REF!,#REF!)</definedName>
    <definedName name="China_against">(#REF!,#REF!,#REF!)</definedName>
    <definedName name="China_played">(#REF!,#REF!,#REF!)</definedName>
    <definedName name="Copa" localSheetId="5">Jogo!$K$1</definedName>
    <definedName name="copa2014">Jogo!#REF!</definedName>
    <definedName name="Coreia_against">(#REF!,#REF!,#REF!)</definedName>
    <definedName name="Coreia_played">(#REF!,#REF!,#REF!)</definedName>
    <definedName name="Costa_Rica_against">(#REF!,#REF!,#REF!)</definedName>
    <definedName name="Costa_Rica_played">(#REF!,#REF!,#REF!)</definedName>
    <definedName name="Croácia_against">(#REF!,#REF!,#REF!)</definedName>
    <definedName name="Croácia_played">(#REF!,#REF!,#REF!)</definedName>
    <definedName name="D5I" comment="Para Ver mais Planilhas">Jogo!$N$58</definedName>
    <definedName name="Dinamarca_against">(#REF!,#REF!,#REF!)</definedName>
    <definedName name="Dinamarca_played">(#REF!,#REF!,#REF!)</definedName>
    <definedName name="Equador_against">(#REF!,#REF!,#REF!)</definedName>
    <definedName name="Equador_played">(#REF!,#REF!,#REF!)</definedName>
    <definedName name="Eslovénia_against">(#REF!,#REF!,#REF!)</definedName>
    <definedName name="Eslovénia_played">(#REF!,#REF!,#REF!)</definedName>
    <definedName name="Espanha_against">(#REF!,#REF!,#REF!)</definedName>
    <definedName name="Espanha_played">(#REF!,#REF!,#REF!)</definedName>
    <definedName name="EUA_against">(#REF!,#REF!,#REF!)</definedName>
    <definedName name="EUA_played">(#REF!,#REF!,#REF!)</definedName>
    <definedName name="ex">Jogo!#REF!</definedName>
    <definedName name="FIFA">Jogo!$H$1</definedName>
    <definedName name="Final">#REF!</definedName>
    <definedName name="FirstRound">#REF!</definedName>
    <definedName name="França_against">(#REF!,#REF!,#REF!)</definedName>
    <definedName name="França_played">(#REF!,#REF!,#REF!)</definedName>
    <definedName name="Groups">#REF!</definedName>
    <definedName name="Grupo_A">Países!$A$2:$A$5</definedName>
    <definedName name="Grupo_AB">Países!$I$2:$I$9</definedName>
    <definedName name="Grupo_ABCD">Países!$M$2:$M$17</definedName>
    <definedName name="Grupo_B">Países!$B$2:$B$5</definedName>
    <definedName name="Grupo_C">Países!$C$2:$C$5</definedName>
    <definedName name="Grupo_CD">#REF!</definedName>
    <definedName name="Grupo_D">Países!$D$2:$D$5</definedName>
    <definedName name="Grupo_E">Países!$E$2:$E$5</definedName>
    <definedName name="Grupo_EF">Países!$J$2:$J$9</definedName>
    <definedName name="Grupo_EFGH">Países!$N$2:$N$17</definedName>
    <definedName name="Grupo_F">Países!$F$2:$F$5</definedName>
    <definedName name="Grupo_G">Países!$G$2:$G$5</definedName>
    <definedName name="Grupo_Geral">Países!$O$2:$O$33</definedName>
    <definedName name="Grupo_GH">Países!$K$2:$K$9</definedName>
    <definedName name="Grupo_H">Países!$H$2:$H$5</definedName>
    <definedName name="Inglaterra_against">(#REF!,#REF!,#REF!)</definedName>
    <definedName name="Inglaterra_played">(#REF!,#REF!,#REF!)</definedName>
    <definedName name="Irlanda_against">(#REF!,#REF!,#REF!)</definedName>
    <definedName name="Irlanda_played">(#REF!,#REF!,#REF!)</definedName>
    <definedName name="Itália_against">(#REF!,#REF!,#REF!)</definedName>
    <definedName name="Itália_played">(#REF!,#REF!,#REF!)</definedName>
    <definedName name="Japão_against">(#REF!,#REF!,#REF!)</definedName>
    <definedName name="Japão_played">(#REF!,#REF!,#REF!)</definedName>
    <definedName name="Lista_Melhor_Ataque">OFFSET(Jogo!$J$97,0,1,Jogo!$B$92)</definedName>
    <definedName name="Lista_Melhor_Campanha">OFFSET(Jogo!$CJ$69,0,0,Jogo!$CO$67)</definedName>
    <definedName name="Lista_Pior_Ataque">OFFSET(Jogo!$J$97,0,7,Jogo!$B$94)</definedName>
    <definedName name="Lista_Pior_Campanha">OFFSET(Jogo!$CJ$88,0,0,-Jogo!$CO$79)</definedName>
    <definedName name="Melhor_Ataque">Jogo!$K$97:$K$128</definedName>
    <definedName name="México_against">(#REF!,#REF!,#REF!)</definedName>
    <definedName name="México_played">(#REF!,#REF!,#REF!)</definedName>
    <definedName name="Nigéria_against">(#REF!,#REF!,#REF!)</definedName>
    <definedName name="Nigéria_played">(#REF!,#REF!,#REF!)</definedName>
    <definedName name="Paraguai_against">(#REF!,#REF!,#REF!)</definedName>
    <definedName name="Paraguai_played">(#REF!,#REF!,#REF!)</definedName>
    <definedName name="Pior_Ataque">Jogo!$Q$97:$Q$128</definedName>
    <definedName name="Playoff">#REF!</definedName>
    <definedName name="Polónia_against">(#REF!,#REF!,#REF!)</definedName>
    <definedName name="Polónia_played">(#REF!,#REF!,#REF!)</definedName>
    <definedName name="Portugal_against">(#REF!,#REF!,#REF!)</definedName>
    <definedName name="Portugal_played">(#REF!,#REF!,#REF!)</definedName>
    <definedName name="QuarterFinals">#REF!</definedName>
    <definedName name="Rússia_against">(#REF!,#REF!,#REF!)</definedName>
    <definedName name="Rússia_played">(#REF!,#REF!,#REF!)</definedName>
    <definedName name="SecondRound">#REF!</definedName>
    <definedName name="Sel_Melhor_Campanha">'Palpites extras'!$B$9</definedName>
    <definedName name="SemiFinals">#REF!</definedName>
    <definedName name="Senegal_against">(#REF!,#REF!,#REF!)</definedName>
    <definedName name="Senegal_played">(#REF!,#REF!,#REF!)</definedName>
    <definedName name="Suécia_against">(#REF!,#REF!,#REF!)</definedName>
    <definedName name="Suécia_played">(#REF!,#REF!,#REF!)</definedName>
    <definedName name="Tunísia_against">(#REF!,#REF!,#REF!)</definedName>
    <definedName name="Tunísia_played">(#REF!,#REF!,#REF!)</definedName>
    <definedName name="Turquia_against">(#REF!,#REF!,#REF!)</definedName>
    <definedName name="Turquia_played">(#REF!,#REF!,#REF!)</definedName>
    <definedName name="Uruguai_against">(#REF!,#REF!,#REF!)</definedName>
    <definedName name="Uruguai_played">(#REF!,#REF!,#REF!)</definedName>
    <definedName name="UU">(Jogo!#REF!,Jogo!#REF!,Jogo!#REF!)</definedName>
    <definedName name="www.guiadecompracom">Jogo!#REF!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3" i="1" l="1"/>
  <c r="E35" i="8" s="1"/>
  <c r="O94" i="1"/>
  <c r="F35" i="8" s="1"/>
  <c r="O87" i="1"/>
  <c r="O89" i="1" s="1"/>
  <c r="O88" i="1"/>
  <c r="G12" i="8"/>
  <c r="G11" i="8"/>
  <c r="D35" i="8" l="1"/>
  <c r="C98" i="2"/>
  <c r="C99" i="2"/>
  <c r="C100" i="2"/>
  <c r="C101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97" i="2"/>
  <c r="A124" i="2"/>
  <c r="A123" i="2"/>
  <c r="A116" i="2"/>
  <c r="A115" i="2"/>
  <c r="A108" i="2"/>
  <c r="A107" i="2"/>
  <c r="A100" i="2"/>
  <c r="A99" i="2"/>
  <c r="B96" i="2"/>
  <c r="H16" i="8"/>
  <c r="H15" i="8"/>
  <c r="H14" i="8"/>
  <c r="H7" i="8"/>
  <c r="H6" i="8"/>
  <c r="H3" i="8"/>
  <c r="H4" i="8"/>
  <c r="H2" i="8"/>
  <c r="G16" i="8"/>
  <c r="G15" i="8"/>
  <c r="G14" i="8"/>
  <c r="G7" i="8"/>
  <c r="G6" i="8"/>
  <c r="G4" i="8"/>
  <c r="G3" i="8"/>
  <c r="G2" i="8"/>
  <c r="K88" i="1"/>
  <c r="F32" i="8" s="1"/>
  <c r="H32" i="2"/>
  <c r="G32" i="2"/>
  <c r="B112" i="2" s="1"/>
  <c r="F32" i="2"/>
  <c r="E32" i="2"/>
  <c r="D32" i="2"/>
  <c r="C32" i="2"/>
  <c r="H31" i="2"/>
  <c r="G31" i="2"/>
  <c r="B111" i="2" s="1"/>
  <c r="F31" i="2"/>
  <c r="E31" i="2"/>
  <c r="D31" i="2"/>
  <c r="C31" i="2"/>
  <c r="H56" i="2"/>
  <c r="G56" i="2"/>
  <c r="B124" i="2" s="1"/>
  <c r="F56" i="2"/>
  <c r="E56" i="2"/>
  <c r="D56" i="2"/>
  <c r="C56" i="2"/>
  <c r="H55" i="2"/>
  <c r="G55" i="2"/>
  <c r="B123" i="2" s="1"/>
  <c r="F55" i="2"/>
  <c r="E55" i="2"/>
  <c r="D55" i="2"/>
  <c r="C55" i="2"/>
  <c r="H54" i="2"/>
  <c r="G54" i="2"/>
  <c r="B122" i="2" s="1"/>
  <c r="F54" i="2"/>
  <c r="E54" i="2"/>
  <c r="D54" i="2"/>
  <c r="C54" i="2"/>
  <c r="H53" i="2"/>
  <c r="G53" i="2"/>
  <c r="B121" i="2" s="1"/>
  <c r="F53" i="2"/>
  <c r="E53" i="2"/>
  <c r="D53" i="2"/>
  <c r="C53" i="2"/>
  <c r="H48" i="2"/>
  <c r="G48" i="2"/>
  <c r="B120" i="2" s="1"/>
  <c r="F48" i="2"/>
  <c r="E48" i="2"/>
  <c r="D48" i="2"/>
  <c r="C48" i="2"/>
  <c r="C46" i="2"/>
  <c r="H47" i="2"/>
  <c r="G47" i="2"/>
  <c r="B119" i="2" s="1"/>
  <c r="F47" i="2"/>
  <c r="E47" i="2"/>
  <c r="D47" i="2"/>
  <c r="C47" i="2"/>
  <c r="H46" i="2"/>
  <c r="G46" i="2"/>
  <c r="B118" i="2" s="1"/>
  <c r="F46" i="2"/>
  <c r="E46" i="2"/>
  <c r="D46" i="2"/>
  <c r="B46" i="2" s="1"/>
  <c r="H45" i="2"/>
  <c r="G45" i="2"/>
  <c r="B117" i="2" s="1"/>
  <c r="F45" i="2"/>
  <c r="E45" i="2"/>
  <c r="D45" i="2"/>
  <c r="C45" i="2"/>
  <c r="H40" i="2"/>
  <c r="G40" i="2"/>
  <c r="B116" i="2" s="1"/>
  <c r="F40" i="2"/>
  <c r="E40" i="2"/>
  <c r="D40" i="2"/>
  <c r="C40" i="2"/>
  <c r="H39" i="2"/>
  <c r="G39" i="2"/>
  <c r="B115" i="2" s="1"/>
  <c r="F39" i="2"/>
  <c r="E39" i="2"/>
  <c r="D39" i="2"/>
  <c r="C39" i="2"/>
  <c r="H38" i="2"/>
  <c r="G38" i="2"/>
  <c r="B114" i="2" s="1"/>
  <c r="F38" i="2"/>
  <c r="E38" i="2"/>
  <c r="D38" i="2"/>
  <c r="C38" i="2"/>
  <c r="H37" i="2"/>
  <c r="G37" i="2"/>
  <c r="F37" i="2"/>
  <c r="E37" i="2"/>
  <c r="D37" i="2"/>
  <c r="C37" i="2"/>
  <c r="H30" i="2"/>
  <c r="G30" i="2"/>
  <c r="B110" i="2" s="1"/>
  <c r="F30" i="2"/>
  <c r="E30" i="2"/>
  <c r="D30" i="2"/>
  <c r="C30" i="2"/>
  <c r="H29" i="2"/>
  <c r="G29" i="2"/>
  <c r="B109" i="2" s="1"/>
  <c r="F29" i="2"/>
  <c r="E29" i="2"/>
  <c r="D29" i="2"/>
  <c r="C29" i="2"/>
  <c r="H16" i="2"/>
  <c r="G16" i="2"/>
  <c r="B104" i="2" s="1"/>
  <c r="F16" i="2"/>
  <c r="E16" i="2"/>
  <c r="D16" i="2"/>
  <c r="C16" i="2"/>
  <c r="H15" i="2"/>
  <c r="G15" i="2"/>
  <c r="B103" i="2" s="1"/>
  <c r="F15" i="2"/>
  <c r="E15" i="2"/>
  <c r="D15" i="2"/>
  <c r="C15" i="2"/>
  <c r="H14" i="2"/>
  <c r="G14" i="2"/>
  <c r="B102" i="2" s="1"/>
  <c r="F14" i="2"/>
  <c r="E14" i="2"/>
  <c r="D14" i="2"/>
  <c r="C14" i="2"/>
  <c r="H13" i="2"/>
  <c r="G13" i="2"/>
  <c r="B101" i="2" s="1"/>
  <c r="F13" i="2"/>
  <c r="E13" i="2"/>
  <c r="D13" i="2"/>
  <c r="C13" i="2"/>
  <c r="H8" i="2"/>
  <c r="G8" i="2"/>
  <c r="B100" i="2" s="1"/>
  <c r="F8" i="2"/>
  <c r="E8" i="2"/>
  <c r="D8" i="2"/>
  <c r="H7" i="2"/>
  <c r="G7" i="2"/>
  <c r="B99" i="2" s="1"/>
  <c r="F7" i="2"/>
  <c r="E7" i="2"/>
  <c r="D7" i="2"/>
  <c r="H6" i="2"/>
  <c r="G6" i="2"/>
  <c r="B98" i="2" s="1"/>
  <c r="F6" i="2"/>
  <c r="E6" i="2"/>
  <c r="D6" i="2"/>
  <c r="H5" i="2"/>
  <c r="G5" i="2"/>
  <c r="B97" i="2" s="1"/>
  <c r="F5" i="2"/>
  <c r="E5" i="2"/>
  <c r="D5" i="2"/>
  <c r="C8" i="2"/>
  <c r="C7" i="2"/>
  <c r="C6" i="2"/>
  <c r="C5" i="2"/>
  <c r="K57" i="1"/>
  <c r="E57" i="1"/>
  <c r="K56" i="1"/>
  <c r="E58" i="1"/>
  <c r="K58" i="1"/>
  <c r="E56" i="1"/>
  <c r="K55" i="1"/>
  <c r="E55" i="1"/>
  <c r="K54" i="1"/>
  <c r="E54" i="1"/>
  <c r="K49" i="1"/>
  <c r="E49" i="1"/>
  <c r="K48" i="1"/>
  <c r="E48" i="1"/>
  <c r="K47" i="1"/>
  <c r="E47" i="1"/>
  <c r="K46" i="1"/>
  <c r="E46" i="1"/>
  <c r="K41" i="1"/>
  <c r="E41" i="1"/>
  <c r="K40" i="1"/>
  <c r="E40" i="1"/>
  <c r="K34" i="1"/>
  <c r="E34" i="1"/>
  <c r="K35" i="1"/>
  <c r="E35" i="1"/>
  <c r="K33" i="1"/>
  <c r="E33" i="1"/>
  <c r="K32" i="1"/>
  <c r="E32" i="1"/>
  <c r="K31" i="1"/>
  <c r="E31" i="1"/>
  <c r="K30" i="1"/>
  <c r="E30" i="1"/>
  <c r="K19" i="1"/>
  <c r="E19" i="1"/>
  <c r="K18" i="1"/>
  <c r="E18" i="1"/>
  <c r="K17" i="1"/>
  <c r="E17" i="1"/>
  <c r="K16" i="1"/>
  <c r="E16" i="1"/>
  <c r="K15" i="1"/>
  <c r="E15" i="1"/>
  <c r="K14" i="1"/>
  <c r="E14" i="1"/>
  <c r="K7" i="1"/>
  <c r="E7" i="1"/>
  <c r="K6" i="1"/>
  <c r="E6" i="1"/>
  <c r="H64" i="2"/>
  <c r="G64" i="2"/>
  <c r="B128" i="2" s="1"/>
  <c r="F64" i="2"/>
  <c r="E64" i="2"/>
  <c r="D64" i="2"/>
  <c r="H63" i="2"/>
  <c r="G63" i="2"/>
  <c r="B127" i="2" s="1"/>
  <c r="F63" i="2"/>
  <c r="E63" i="2"/>
  <c r="D63" i="2"/>
  <c r="H62" i="2"/>
  <c r="G62" i="2"/>
  <c r="B126" i="2" s="1"/>
  <c r="F62" i="2"/>
  <c r="E62" i="2"/>
  <c r="D62" i="2"/>
  <c r="H61" i="2"/>
  <c r="G61" i="2"/>
  <c r="B125" i="2" s="1"/>
  <c r="F61" i="2"/>
  <c r="E61" i="2"/>
  <c r="D61" i="2"/>
  <c r="C64" i="2"/>
  <c r="C63" i="2"/>
  <c r="C62" i="2"/>
  <c r="C61" i="2"/>
  <c r="K67" i="1"/>
  <c r="E67" i="1"/>
  <c r="K66" i="1"/>
  <c r="E66" i="1"/>
  <c r="K63" i="1"/>
  <c r="E63" i="1"/>
  <c r="K62" i="1"/>
  <c r="E62" i="1"/>
  <c r="K43" i="1"/>
  <c r="E43" i="1"/>
  <c r="K39" i="1"/>
  <c r="E39" i="1"/>
  <c r="K38" i="1"/>
  <c r="E38" i="1"/>
  <c r="H24" i="2"/>
  <c r="G24" i="2"/>
  <c r="B108" i="2" s="1"/>
  <c r="F24" i="2"/>
  <c r="E24" i="2"/>
  <c r="D24" i="2"/>
  <c r="H23" i="2"/>
  <c r="G23" i="2"/>
  <c r="B107" i="2" s="1"/>
  <c r="F23" i="2"/>
  <c r="E23" i="2"/>
  <c r="D23" i="2"/>
  <c r="H22" i="2"/>
  <c r="G22" i="2"/>
  <c r="B106" i="2" s="1"/>
  <c r="F22" i="2"/>
  <c r="E22" i="2"/>
  <c r="D22" i="2"/>
  <c r="H21" i="2"/>
  <c r="G21" i="2"/>
  <c r="B105" i="2" s="1"/>
  <c r="F21" i="2"/>
  <c r="E21" i="2"/>
  <c r="D21" i="2"/>
  <c r="C24" i="2"/>
  <c r="C23" i="2"/>
  <c r="C22" i="2"/>
  <c r="C21" i="2"/>
  <c r="K25" i="1"/>
  <c r="E25" i="1"/>
  <c r="K24" i="1"/>
  <c r="E24" i="1"/>
  <c r="K65" i="1"/>
  <c r="E65" i="1"/>
  <c r="K64" i="1"/>
  <c r="E64" i="1"/>
  <c r="K59" i="1"/>
  <c r="E59" i="1"/>
  <c r="K51" i="1"/>
  <c r="E51" i="1"/>
  <c r="K50" i="1"/>
  <c r="E50" i="1"/>
  <c r="K27" i="1"/>
  <c r="E27" i="1"/>
  <c r="K26" i="1"/>
  <c r="E26" i="1"/>
  <c r="K23" i="1"/>
  <c r="E23" i="1"/>
  <c r="K22" i="1"/>
  <c r="E22" i="1"/>
  <c r="K42" i="1"/>
  <c r="E42" i="1"/>
  <c r="K11" i="1"/>
  <c r="E11" i="1"/>
  <c r="K10" i="1"/>
  <c r="E10" i="1"/>
  <c r="K9" i="1"/>
  <c r="E9" i="1"/>
  <c r="K8" i="1"/>
  <c r="E8" i="1"/>
  <c r="C8" i="6"/>
  <c r="A62" i="2"/>
  <c r="A126" i="2" s="1"/>
  <c r="A63" i="2"/>
  <c r="A127" i="2" s="1"/>
  <c r="A64" i="2"/>
  <c r="A128" i="2" s="1"/>
  <c r="A61" i="2"/>
  <c r="A125" i="2" s="1"/>
  <c r="A54" i="2"/>
  <c r="A122" i="2" s="1"/>
  <c r="A55" i="2"/>
  <c r="A56" i="2"/>
  <c r="A53" i="2"/>
  <c r="A121" i="2" s="1"/>
  <c r="A46" i="2"/>
  <c r="A118" i="2" s="1"/>
  <c r="A47" i="2"/>
  <c r="A119" i="2" s="1"/>
  <c r="A48" i="2"/>
  <c r="A120" i="2" s="1"/>
  <c r="A45" i="2"/>
  <c r="A117" i="2" s="1"/>
  <c r="A38" i="2"/>
  <c r="A114" i="2" s="1"/>
  <c r="A39" i="2"/>
  <c r="A40" i="2"/>
  <c r="A37" i="2"/>
  <c r="A113" i="2" s="1"/>
  <c r="A30" i="2"/>
  <c r="A110" i="2" s="1"/>
  <c r="A31" i="2"/>
  <c r="A111" i="2" s="1"/>
  <c r="A32" i="2"/>
  <c r="A112" i="2" s="1"/>
  <c r="A29" i="2"/>
  <c r="A109" i="2" s="1"/>
  <c r="A22" i="2"/>
  <c r="A106" i="2" s="1"/>
  <c r="A23" i="2"/>
  <c r="A24" i="2"/>
  <c r="A21" i="2"/>
  <c r="A105" i="2" s="1"/>
  <c r="A14" i="2"/>
  <c r="A102" i="2" s="1"/>
  <c r="C102" i="2" s="1"/>
  <c r="A15" i="2"/>
  <c r="A103" i="2" s="1"/>
  <c r="A16" i="2"/>
  <c r="A104" i="2" s="1"/>
  <c r="A13" i="2"/>
  <c r="A101" i="2" s="1"/>
  <c r="A6" i="2"/>
  <c r="A98" i="2" s="1"/>
  <c r="A7" i="2"/>
  <c r="A8" i="2"/>
  <c r="A5" i="2"/>
  <c r="A97" i="2" s="1"/>
  <c r="E84" i="1"/>
  <c r="D30" i="8" s="1"/>
  <c r="K82" i="1"/>
  <c r="E30" i="8" s="1"/>
  <c r="E82" i="1"/>
  <c r="C30" i="8" s="1"/>
  <c r="K87" i="1"/>
  <c r="K84" i="1"/>
  <c r="F30" i="8" s="1"/>
  <c r="I62" i="2" l="1"/>
  <c r="I47" i="2"/>
  <c r="I40" i="2"/>
  <c r="I14" i="2"/>
  <c r="E91" i="1"/>
  <c r="E32" i="8"/>
  <c r="I48" i="2"/>
  <c r="B8" i="2"/>
  <c r="B39" i="2"/>
  <c r="B22" i="2"/>
  <c r="B5" i="2"/>
  <c r="I55" i="2"/>
  <c r="I39" i="2"/>
  <c r="I61" i="2"/>
  <c r="B45" i="2"/>
  <c r="K46" i="2" s="1"/>
  <c r="L46" i="2" s="1"/>
  <c r="I46" i="2"/>
  <c r="I29" i="2"/>
  <c r="I37" i="2"/>
  <c r="I45" i="2"/>
  <c r="B113" i="2"/>
  <c r="B61" i="2"/>
  <c r="B63" i="2"/>
  <c r="I64" i="2"/>
  <c r="G1" i="8"/>
  <c r="B54" i="2"/>
  <c r="B38" i="2"/>
  <c r="B64" i="2"/>
  <c r="B37" i="2"/>
  <c r="B53" i="2"/>
  <c r="I8" i="2"/>
  <c r="I38" i="2"/>
  <c r="I54" i="2"/>
  <c r="I56" i="2"/>
  <c r="I22" i="2"/>
  <c r="B13" i="2"/>
  <c r="B62" i="2"/>
  <c r="I63" i="2"/>
  <c r="B40" i="2"/>
  <c r="B47" i="2"/>
  <c r="B48" i="2"/>
  <c r="I53" i="2"/>
  <c r="B56" i="2"/>
  <c r="I7" i="2"/>
  <c r="B55" i="2"/>
  <c r="B31" i="2"/>
  <c r="I5" i="2"/>
  <c r="I31" i="2"/>
  <c r="I30" i="2"/>
  <c r="B29" i="2"/>
  <c r="B30" i="2"/>
  <c r="I32" i="2"/>
  <c r="B32" i="2"/>
  <c r="I23" i="2"/>
  <c r="B23" i="2"/>
  <c r="I21" i="2"/>
  <c r="B21" i="2"/>
  <c r="B24" i="2"/>
  <c r="I24" i="2"/>
  <c r="B15" i="2"/>
  <c r="I15" i="2"/>
  <c r="I16" i="2"/>
  <c r="B16" i="2"/>
  <c r="I13" i="2"/>
  <c r="B14" i="2"/>
  <c r="I6" i="2"/>
  <c r="B7" i="2"/>
  <c r="B6" i="2"/>
  <c r="K5" i="2" l="1"/>
  <c r="L5" i="2" s="1"/>
  <c r="K8" i="2"/>
  <c r="L8" i="2" s="1"/>
  <c r="K40" i="2"/>
  <c r="L40" i="2" s="1"/>
  <c r="K22" i="2"/>
  <c r="L22" i="2" s="1"/>
  <c r="K64" i="2"/>
  <c r="L64" i="2" s="1"/>
  <c r="K45" i="2"/>
  <c r="L45" i="2" s="1"/>
  <c r="K38" i="2"/>
  <c r="L38" i="2" s="1"/>
  <c r="K62" i="2"/>
  <c r="L62" i="2" s="1"/>
  <c r="K54" i="2"/>
  <c r="L54" i="2" s="1"/>
  <c r="K63" i="2"/>
  <c r="L63" i="2" s="1"/>
  <c r="K37" i="2"/>
  <c r="L37" i="2" s="1"/>
  <c r="K53" i="2"/>
  <c r="L53" i="2" s="1"/>
  <c r="K47" i="2"/>
  <c r="L47" i="2" s="1"/>
  <c r="K39" i="2"/>
  <c r="L39" i="2" s="1"/>
  <c r="K14" i="2"/>
  <c r="L14" i="2" s="1"/>
  <c r="K48" i="2"/>
  <c r="L48" i="2" s="1"/>
  <c r="N48" i="2" s="1"/>
  <c r="O48" i="2" s="1"/>
  <c r="K61" i="2"/>
  <c r="L61" i="2" s="1"/>
  <c r="K55" i="2"/>
  <c r="L55" i="2" s="1"/>
  <c r="K56" i="2"/>
  <c r="L56" i="2" s="1"/>
  <c r="K32" i="2"/>
  <c r="L32" i="2" s="1"/>
  <c r="K30" i="2"/>
  <c r="L30" i="2" s="1"/>
  <c r="K31" i="2"/>
  <c r="L31" i="2" s="1"/>
  <c r="K29" i="2"/>
  <c r="L29" i="2" s="1"/>
  <c r="K24" i="2"/>
  <c r="L24" i="2" s="1"/>
  <c r="K21" i="2"/>
  <c r="L21" i="2" s="1"/>
  <c r="K23" i="2"/>
  <c r="L23" i="2" s="1"/>
  <c r="K16" i="2"/>
  <c r="L16" i="2" s="1"/>
  <c r="K15" i="2"/>
  <c r="L15" i="2" s="1"/>
  <c r="K13" i="2"/>
  <c r="L13" i="2" s="1"/>
  <c r="K7" i="2"/>
  <c r="L7" i="2" s="1"/>
  <c r="K6" i="2"/>
  <c r="L6" i="2" s="1"/>
  <c r="N38" i="2" l="1"/>
  <c r="O38" i="2" s="1"/>
  <c r="N7" i="2"/>
  <c r="O7" i="2" s="1"/>
  <c r="N24" i="2"/>
  <c r="O24" i="2" s="1"/>
  <c r="N6" i="2"/>
  <c r="O6" i="2" s="1"/>
  <c r="N47" i="2"/>
  <c r="O47" i="2" s="1"/>
  <c r="N62" i="2"/>
  <c r="O62" i="2" s="1"/>
  <c r="N40" i="2"/>
  <c r="O40" i="2" s="1"/>
  <c r="N64" i="2"/>
  <c r="O64" i="2" s="1"/>
  <c r="N55" i="2"/>
  <c r="O55" i="2" s="1"/>
  <c r="N56" i="2"/>
  <c r="O56" i="2" s="1"/>
  <c r="N39" i="2"/>
  <c r="O39" i="2" s="1"/>
  <c r="N63" i="2"/>
  <c r="O63" i="2" s="1"/>
  <c r="N45" i="2"/>
  <c r="O45" i="2" s="1"/>
  <c r="Q48" i="2" s="1"/>
  <c r="S48" i="2" s="1"/>
  <c r="N37" i="2"/>
  <c r="O37" i="2" s="1"/>
  <c r="N46" i="2"/>
  <c r="O46" i="2" s="1"/>
  <c r="Q47" i="2" s="1"/>
  <c r="N53" i="2"/>
  <c r="O53" i="2" s="1"/>
  <c r="N14" i="2"/>
  <c r="O14" i="2" s="1"/>
  <c r="N61" i="2"/>
  <c r="O61" i="2" s="1"/>
  <c r="N54" i="2"/>
  <c r="O54" i="2" s="1"/>
  <c r="N13" i="2"/>
  <c r="O13" i="2" s="1"/>
  <c r="N30" i="2"/>
  <c r="O30" i="2" s="1"/>
  <c r="N32" i="2"/>
  <c r="O32" i="2" s="1"/>
  <c r="N29" i="2"/>
  <c r="O29" i="2" s="1"/>
  <c r="N31" i="2"/>
  <c r="O31" i="2" s="1"/>
  <c r="N23" i="2"/>
  <c r="O23" i="2" s="1"/>
  <c r="N22" i="2"/>
  <c r="O22" i="2" s="1"/>
  <c r="N21" i="2"/>
  <c r="O21" i="2" s="1"/>
  <c r="N16" i="2"/>
  <c r="O16" i="2" s="1"/>
  <c r="N15" i="2"/>
  <c r="O15" i="2" s="1"/>
  <c r="N5" i="2"/>
  <c r="O5" i="2" s="1"/>
  <c r="N8" i="2"/>
  <c r="O8" i="2" s="1"/>
  <c r="Q39" i="2" l="1"/>
  <c r="S39" i="2" s="1"/>
  <c r="Q21" i="2"/>
  <c r="S21" i="2" s="1"/>
  <c r="Q7" i="2"/>
  <c r="S7" i="2" s="1"/>
  <c r="Q62" i="2"/>
  <c r="S62" i="2" s="1"/>
  <c r="Q6" i="2"/>
  <c r="S6" i="2" s="1"/>
  <c r="Q40" i="2"/>
  <c r="S40" i="2" s="1"/>
  <c r="Q61" i="2"/>
  <c r="S61" i="2" s="1"/>
  <c r="Q53" i="2"/>
  <c r="R53" i="2" s="1"/>
  <c r="Q38" i="2"/>
  <c r="S38" i="2" s="1"/>
  <c r="Q55" i="2"/>
  <c r="R55" i="2" s="1"/>
  <c r="Q15" i="2"/>
  <c r="S15" i="2" s="1"/>
  <c r="Q63" i="2"/>
  <c r="R63" i="2" s="1"/>
  <c r="Q46" i="2"/>
  <c r="R46" i="2" s="1"/>
  <c r="Q45" i="2"/>
  <c r="R45" i="2" s="1"/>
  <c r="Q37" i="2"/>
  <c r="R37" i="2" s="1"/>
  <c r="Q56" i="2"/>
  <c r="R56" i="2" s="1"/>
  <c r="R48" i="2"/>
  <c r="Q64" i="2"/>
  <c r="S64" i="2" s="1"/>
  <c r="Q54" i="2"/>
  <c r="R54" i="2" s="1"/>
  <c r="Q16" i="2"/>
  <c r="S16" i="2" s="1"/>
  <c r="Q22" i="2"/>
  <c r="R22" i="2" s="1"/>
  <c r="R39" i="2"/>
  <c r="S47" i="2"/>
  <c r="R47" i="2"/>
  <c r="Q31" i="2"/>
  <c r="S31" i="2" s="1"/>
  <c r="Q29" i="2"/>
  <c r="R29" i="2" s="1"/>
  <c r="Q32" i="2"/>
  <c r="S32" i="2" s="1"/>
  <c r="Q30" i="2"/>
  <c r="R30" i="2" s="1"/>
  <c r="Q23" i="2"/>
  <c r="S23" i="2" s="1"/>
  <c r="Q24" i="2"/>
  <c r="R24" i="2" s="1"/>
  <c r="R21" i="2"/>
  <c r="Q13" i="2"/>
  <c r="S13" i="2" s="1"/>
  <c r="Q14" i="2"/>
  <c r="S14" i="2" s="1"/>
  <c r="Q8" i="2"/>
  <c r="R8" i="2" s="1"/>
  <c r="Q5" i="2"/>
  <c r="R5" i="2" s="1"/>
  <c r="S53" i="2" l="1"/>
  <c r="R7" i="2"/>
  <c r="S55" i="2"/>
  <c r="R61" i="2"/>
  <c r="R62" i="2"/>
  <c r="R6" i="2"/>
  <c r="R40" i="2"/>
  <c r="U40" i="2" s="1"/>
  <c r="V40" i="2" s="1"/>
  <c r="R15" i="2"/>
  <c r="R38" i="2"/>
  <c r="S63" i="2"/>
  <c r="S37" i="2"/>
  <c r="S45" i="2"/>
  <c r="S46" i="2"/>
  <c r="S56" i="2"/>
  <c r="S54" i="2"/>
  <c r="U54" i="2" s="1"/>
  <c r="R64" i="2"/>
  <c r="S22" i="2"/>
  <c r="U21" i="2" s="1"/>
  <c r="W21" i="2" s="1"/>
  <c r="R16" i="2"/>
  <c r="U47" i="2"/>
  <c r="V47" i="2" s="1"/>
  <c r="U48" i="2"/>
  <c r="R31" i="2"/>
  <c r="R13" i="2"/>
  <c r="S8" i="2"/>
  <c r="R32" i="2"/>
  <c r="S29" i="2"/>
  <c r="S30" i="2"/>
  <c r="R23" i="2"/>
  <c r="S24" i="2"/>
  <c r="R14" i="2"/>
  <c r="S5" i="2"/>
  <c r="U7" i="2" l="1"/>
  <c r="W7" i="2" s="1"/>
  <c r="U6" i="2"/>
  <c r="V6" i="2" s="1"/>
  <c r="U39" i="2"/>
  <c r="U56" i="2"/>
  <c r="V56" i="2" s="1"/>
  <c r="U15" i="2"/>
  <c r="W15" i="2" s="1"/>
  <c r="U37" i="2"/>
  <c r="W37" i="2" s="1"/>
  <c r="U38" i="2"/>
  <c r="W38" i="2" s="1"/>
  <c r="U45" i="2"/>
  <c r="V45" i="2" s="1"/>
  <c r="U46" i="2"/>
  <c r="W46" i="2" s="1"/>
  <c r="U55" i="2"/>
  <c r="W55" i="2" s="1"/>
  <c r="U53" i="2"/>
  <c r="W53" i="2" s="1"/>
  <c r="U16" i="2"/>
  <c r="W16" i="2" s="1"/>
  <c r="U22" i="2"/>
  <c r="V22" i="2" s="1"/>
  <c r="W40" i="2"/>
  <c r="U63" i="2"/>
  <c r="U64" i="2"/>
  <c r="W47" i="2"/>
  <c r="W48" i="2"/>
  <c r="V48" i="2"/>
  <c r="U32" i="2"/>
  <c r="W32" i="2" s="1"/>
  <c r="U23" i="2"/>
  <c r="W23" i="2" s="1"/>
  <c r="U14" i="2"/>
  <c r="V14" i="2" s="1"/>
  <c r="U8" i="2"/>
  <c r="W8" i="2" s="1"/>
  <c r="U31" i="2"/>
  <c r="W31" i="2" s="1"/>
  <c r="U29" i="2"/>
  <c r="V29" i="2" s="1"/>
  <c r="U30" i="2"/>
  <c r="V30" i="2" s="1"/>
  <c r="U24" i="2"/>
  <c r="W24" i="2" s="1"/>
  <c r="V21" i="2"/>
  <c r="U13" i="2"/>
  <c r="V13" i="2" s="1"/>
  <c r="V54" i="2"/>
  <c r="W54" i="2"/>
  <c r="U5" i="2"/>
  <c r="V5" i="2" s="1"/>
  <c r="V7" i="2" l="1"/>
  <c r="W6" i="2"/>
  <c r="W39" i="2"/>
  <c r="V39" i="2"/>
  <c r="W56" i="2"/>
  <c r="X56" i="2" s="1"/>
  <c r="V38" i="2"/>
  <c r="X38" i="2" s="1"/>
  <c r="Z38" i="2" s="1"/>
  <c r="V37" i="2"/>
  <c r="V15" i="2"/>
  <c r="W45" i="2"/>
  <c r="X45" i="2" s="1"/>
  <c r="Y45" i="2" s="1"/>
  <c r="V46" i="2"/>
  <c r="X48" i="2" s="1"/>
  <c r="V16" i="2"/>
  <c r="V55" i="2"/>
  <c r="W22" i="2"/>
  <c r="V53" i="2"/>
  <c r="V64" i="2"/>
  <c r="W64" i="2"/>
  <c r="W63" i="2"/>
  <c r="V63" i="2"/>
  <c r="V23" i="2"/>
  <c r="X21" i="2" s="1"/>
  <c r="V32" i="2"/>
  <c r="W14" i="2"/>
  <c r="V8" i="2"/>
  <c r="V31" i="2"/>
  <c r="W29" i="2"/>
  <c r="W30" i="2"/>
  <c r="V24" i="2"/>
  <c r="W13" i="2"/>
  <c r="W5" i="2"/>
  <c r="X5" i="2" s="1"/>
  <c r="X39" i="2" l="1"/>
  <c r="X40" i="2"/>
  <c r="Z40" i="2" s="1"/>
  <c r="X6" i="2"/>
  <c r="Z6" i="2" s="1"/>
  <c r="X54" i="2"/>
  <c r="Y54" i="2" s="1"/>
  <c r="X16" i="2"/>
  <c r="Z16" i="2" s="1"/>
  <c r="X15" i="2"/>
  <c r="Z15" i="2" s="1"/>
  <c r="X37" i="2"/>
  <c r="Y37" i="2" s="1"/>
  <c r="X47" i="2"/>
  <c r="Z47" i="2" s="1"/>
  <c r="X22" i="2"/>
  <c r="Y22" i="2" s="1"/>
  <c r="X55" i="2"/>
  <c r="Z55" i="2" s="1"/>
  <c r="X46" i="2"/>
  <c r="Z46" i="2" s="1"/>
  <c r="Z45" i="2"/>
  <c r="X53" i="2"/>
  <c r="Y53" i="2" s="1"/>
  <c r="Y38" i="2"/>
  <c r="Y40" i="2"/>
  <c r="X23" i="2"/>
  <c r="Z23" i="2" s="1"/>
  <c r="X14" i="2"/>
  <c r="Y14" i="2" s="1"/>
  <c r="X32" i="2"/>
  <c r="Z32" i="2" s="1"/>
  <c r="X8" i="2"/>
  <c r="Y8" i="2" s="1"/>
  <c r="Y48" i="2"/>
  <c r="Z48" i="2"/>
  <c r="X29" i="2"/>
  <c r="Y29" i="2" s="1"/>
  <c r="X31" i="2"/>
  <c r="Y31" i="2" s="1"/>
  <c r="X30" i="2"/>
  <c r="Z30" i="2" s="1"/>
  <c r="X24" i="2"/>
  <c r="Z24" i="2" s="1"/>
  <c r="Z21" i="2"/>
  <c r="Y21" i="2"/>
  <c r="X13" i="2"/>
  <c r="Z13" i="2" s="1"/>
  <c r="Y39" i="2"/>
  <c r="Z39" i="2"/>
  <c r="Y56" i="2"/>
  <c r="Z56" i="2"/>
  <c r="X7" i="2"/>
  <c r="Y7" i="2" s="1"/>
  <c r="Z5" i="2"/>
  <c r="Y5" i="2"/>
  <c r="Y6" i="2" l="1"/>
  <c r="Y16" i="2"/>
  <c r="Z54" i="2"/>
  <c r="Z37" i="2"/>
  <c r="AB37" i="2" s="1"/>
  <c r="AD37" i="2" s="1"/>
  <c r="Y15" i="2"/>
  <c r="Z22" i="2"/>
  <c r="Y47" i="2"/>
  <c r="Y55" i="2"/>
  <c r="Y46" i="2"/>
  <c r="Z53" i="2"/>
  <c r="AB56" i="2" s="1"/>
  <c r="Y23" i="2"/>
  <c r="Y32" i="2"/>
  <c r="Z8" i="2"/>
  <c r="AB5" i="2" s="1"/>
  <c r="AE5" i="2" s="1"/>
  <c r="Z14" i="2"/>
  <c r="Z31" i="2"/>
  <c r="Z29" i="2"/>
  <c r="AB48" i="2"/>
  <c r="AB45" i="2"/>
  <c r="AB39" i="2"/>
  <c r="AC39" i="2" s="1"/>
  <c r="Y30" i="2"/>
  <c r="Y24" i="2"/>
  <c r="AB24" i="2" s="1"/>
  <c r="Y13" i="2"/>
  <c r="Z7" i="2"/>
  <c r="AB6" i="2" s="1"/>
  <c r="AB38" i="2"/>
  <c r="AB13" i="2" l="1"/>
  <c r="AC13" i="2" s="1"/>
  <c r="AB22" i="2"/>
  <c r="AE22" i="2" s="1"/>
  <c r="AB54" i="2"/>
  <c r="AE54" i="2" s="1"/>
  <c r="AB55" i="2"/>
  <c r="AC55" i="2" s="1"/>
  <c r="AB40" i="2"/>
  <c r="AC40" i="2" s="1"/>
  <c r="AB15" i="2"/>
  <c r="AD15" i="2" s="1"/>
  <c r="AB47" i="2"/>
  <c r="AD47" i="2" s="1"/>
  <c r="AB46" i="2"/>
  <c r="AC46" i="2" s="1"/>
  <c r="AB53" i="2"/>
  <c r="AC53" i="2" s="1"/>
  <c r="AB32" i="2"/>
  <c r="AE32" i="2" s="1"/>
  <c r="AB23" i="2"/>
  <c r="AE23" i="2" s="1"/>
  <c r="AB14" i="2"/>
  <c r="AC14" i="2" s="1"/>
  <c r="AB8" i="2"/>
  <c r="AD8" i="2" s="1"/>
  <c r="AE37" i="2"/>
  <c r="AC37" i="2"/>
  <c r="AD39" i="2"/>
  <c r="AE39" i="2"/>
  <c r="AB29" i="2"/>
  <c r="AE29" i="2" s="1"/>
  <c r="AC45" i="2"/>
  <c r="AE45" i="2"/>
  <c r="AD45" i="2"/>
  <c r="AD48" i="2"/>
  <c r="AE48" i="2"/>
  <c r="AC48" i="2"/>
  <c r="AB30" i="2"/>
  <c r="AC30" i="2" s="1"/>
  <c r="AB21" i="2"/>
  <c r="AC21" i="2" s="1"/>
  <c r="AB7" i="2"/>
  <c r="AD7" i="2" s="1"/>
  <c r="AB31" i="2"/>
  <c r="AE31" i="2" s="1"/>
  <c r="AD24" i="2"/>
  <c r="AC24" i="2"/>
  <c r="AE24" i="2"/>
  <c r="AB16" i="2"/>
  <c r="AC16" i="2" s="1"/>
  <c r="AE38" i="2"/>
  <c r="AC38" i="2"/>
  <c r="AD38" i="2"/>
  <c r="AE56" i="2"/>
  <c r="AC56" i="2"/>
  <c r="AD56" i="2"/>
  <c r="AC5" i="2"/>
  <c r="AD5" i="2"/>
  <c r="AE6" i="2"/>
  <c r="AC6" i="2"/>
  <c r="AD6" i="2"/>
  <c r="AE55" i="2" l="1"/>
  <c r="AD13" i="2"/>
  <c r="AE13" i="2"/>
  <c r="AC15" i="2"/>
  <c r="AE15" i="2"/>
  <c r="AC22" i="2"/>
  <c r="AD22" i="2"/>
  <c r="AD40" i="2"/>
  <c r="AE40" i="2"/>
  <c r="AE47" i="2"/>
  <c r="AC47" i="2"/>
  <c r="AF47" i="2" s="1"/>
  <c r="AD54" i="2"/>
  <c r="AC54" i="2"/>
  <c r="AD55" i="2"/>
  <c r="AF55" i="2" s="1"/>
  <c r="AC23" i="2"/>
  <c r="AE46" i="2"/>
  <c r="AD46" i="2"/>
  <c r="AD53" i="2"/>
  <c r="AE53" i="2"/>
  <c r="AC32" i="2"/>
  <c r="AD32" i="2"/>
  <c r="AD23" i="2"/>
  <c r="AD14" i="2"/>
  <c r="AE14" i="2"/>
  <c r="AD30" i="2"/>
  <c r="AC8" i="2"/>
  <c r="AE8" i="2"/>
  <c r="AE7" i="2"/>
  <c r="AC7" i="2"/>
  <c r="AC29" i="2"/>
  <c r="AD29" i="2"/>
  <c r="AE30" i="2"/>
  <c r="AE21" i="2"/>
  <c r="AD21" i="2"/>
  <c r="AF38" i="2"/>
  <c r="AI38" i="2" s="1"/>
  <c r="AD31" i="2"/>
  <c r="AC31" i="2"/>
  <c r="AD16" i="2"/>
  <c r="AE16" i="2"/>
  <c r="AF37" i="2"/>
  <c r="AF6" i="2"/>
  <c r="AF5" i="2"/>
  <c r="AF48" i="2" l="1"/>
  <c r="AG48" i="2" s="1"/>
  <c r="AF40" i="2"/>
  <c r="AF24" i="2"/>
  <c r="AI24" i="2" s="1"/>
  <c r="AF39" i="2"/>
  <c r="AG39" i="2" s="1"/>
  <c r="AF56" i="2"/>
  <c r="AG56" i="2" s="1"/>
  <c r="AF46" i="2"/>
  <c r="AI46" i="2" s="1"/>
  <c r="AF53" i="2"/>
  <c r="AG53" i="2" s="1"/>
  <c r="AF45" i="2"/>
  <c r="AH45" i="2" s="1"/>
  <c r="AF54" i="2"/>
  <c r="AH54" i="2" s="1"/>
  <c r="AF23" i="2"/>
  <c r="AI23" i="2" s="1"/>
  <c r="AF14" i="2"/>
  <c r="AI14" i="2" s="1"/>
  <c r="AF13" i="2"/>
  <c r="AI13" i="2" s="1"/>
  <c r="AF8" i="2"/>
  <c r="AI8" i="2" s="1"/>
  <c r="AF7" i="2"/>
  <c r="AG7" i="2" s="1"/>
  <c r="AG38" i="2"/>
  <c r="AF29" i="2"/>
  <c r="AH29" i="2" s="1"/>
  <c r="AF22" i="2"/>
  <c r="AG22" i="2" s="1"/>
  <c r="AF30" i="2"/>
  <c r="AH30" i="2" s="1"/>
  <c r="AH38" i="2"/>
  <c r="AF21" i="2"/>
  <c r="AH21" i="2" s="1"/>
  <c r="AI47" i="2"/>
  <c r="AH47" i="2"/>
  <c r="AG47" i="2"/>
  <c r="AI48" i="2"/>
  <c r="AH48" i="2"/>
  <c r="AF32" i="2"/>
  <c r="AH32" i="2" s="1"/>
  <c r="AF31" i="2"/>
  <c r="AH31" i="2" s="1"/>
  <c r="AG24" i="2"/>
  <c r="AH24" i="2"/>
  <c r="AF15" i="2"/>
  <c r="AI15" i="2" s="1"/>
  <c r="AF16" i="2"/>
  <c r="AG16" i="2" s="1"/>
  <c r="AI40" i="2"/>
  <c r="AG40" i="2"/>
  <c r="AH40" i="2"/>
  <c r="AI37" i="2"/>
  <c r="AH37" i="2"/>
  <c r="AG37" i="2"/>
  <c r="AH55" i="2"/>
  <c r="AI55" i="2"/>
  <c r="AG55" i="2"/>
  <c r="AG6" i="2"/>
  <c r="AI6" i="2"/>
  <c r="AH6" i="2"/>
  <c r="AI5" i="2"/>
  <c r="AH5" i="2"/>
  <c r="AG5" i="2"/>
  <c r="AG46" i="2" l="1"/>
  <c r="AH46" i="2"/>
  <c r="AJ48" i="2" s="1"/>
  <c r="AI39" i="2"/>
  <c r="AG23" i="2"/>
  <c r="AH23" i="2"/>
  <c r="AH39" i="2"/>
  <c r="AJ39" i="2" s="1"/>
  <c r="AH56" i="2"/>
  <c r="AI56" i="2"/>
  <c r="AG54" i="2"/>
  <c r="AI45" i="2"/>
  <c r="AG45" i="2"/>
  <c r="AH53" i="2"/>
  <c r="AI53" i="2"/>
  <c r="AI54" i="2"/>
  <c r="AG14" i="2"/>
  <c r="AH14" i="2"/>
  <c r="AG13" i="2"/>
  <c r="AH13" i="2"/>
  <c r="AG8" i="2"/>
  <c r="AH8" i="2"/>
  <c r="AH22" i="2"/>
  <c r="AI22" i="2"/>
  <c r="AI7" i="2"/>
  <c r="AH7" i="2"/>
  <c r="AI29" i="2"/>
  <c r="AG29" i="2"/>
  <c r="AI30" i="2"/>
  <c r="AG30" i="2"/>
  <c r="AG21" i="2"/>
  <c r="AI21" i="2"/>
  <c r="AJ40" i="2"/>
  <c r="AL40" i="2" s="1"/>
  <c r="AI32" i="2"/>
  <c r="AJ38" i="2"/>
  <c r="AM38" i="2" s="1"/>
  <c r="AG15" i="2"/>
  <c r="AH15" i="2"/>
  <c r="AG32" i="2"/>
  <c r="AG31" i="2"/>
  <c r="AI31" i="2"/>
  <c r="AH16" i="2"/>
  <c r="AI16" i="2"/>
  <c r="AJ46" i="2" l="1"/>
  <c r="AL46" i="2" s="1"/>
  <c r="AJ47" i="2"/>
  <c r="AJ37" i="2"/>
  <c r="AK37" i="2" s="1"/>
  <c r="AJ54" i="2"/>
  <c r="AL54" i="2" s="1"/>
  <c r="AJ45" i="2"/>
  <c r="AK45" i="2" s="1"/>
  <c r="AJ6" i="2"/>
  <c r="AL6" i="2" s="1"/>
  <c r="AJ8" i="2"/>
  <c r="AK8" i="2" s="1"/>
  <c r="AJ55" i="2"/>
  <c r="AL55" i="2" s="1"/>
  <c r="AJ56" i="2"/>
  <c r="AK56" i="2" s="1"/>
  <c r="AJ53" i="2"/>
  <c r="AM53" i="2" s="1"/>
  <c r="AJ5" i="2"/>
  <c r="AL5" i="2" s="1"/>
  <c r="AJ22" i="2"/>
  <c r="AK22" i="2" s="1"/>
  <c r="AJ24" i="2"/>
  <c r="AK24" i="2" s="1"/>
  <c r="AJ7" i="2"/>
  <c r="AK7" i="2" s="1"/>
  <c r="AK40" i="2"/>
  <c r="AM40" i="2"/>
  <c r="AJ23" i="2"/>
  <c r="AL23" i="2" s="1"/>
  <c r="AJ21" i="2"/>
  <c r="AK21" i="2" s="1"/>
  <c r="AJ32" i="2"/>
  <c r="AK32" i="2" s="1"/>
  <c r="AL47" i="2"/>
  <c r="AM47" i="2"/>
  <c r="AK47" i="2"/>
  <c r="AL38" i="2"/>
  <c r="AK38" i="2"/>
  <c r="AK46" i="2"/>
  <c r="AM46" i="2"/>
  <c r="AM48" i="2"/>
  <c r="AK48" i="2"/>
  <c r="AL48" i="2"/>
  <c r="AJ15" i="2"/>
  <c r="AL15" i="2" s="1"/>
  <c r="AJ30" i="2"/>
  <c r="AL30" i="2" s="1"/>
  <c r="AJ16" i="2"/>
  <c r="AL16" i="2" s="1"/>
  <c r="AJ13" i="2"/>
  <c r="AM13" i="2" s="1"/>
  <c r="AJ29" i="2"/>
  <c r="AK29" i="2" s="1"/>
  <c r="AJ31" i="2"/>
  <c r="AK31" i="2" s="1"/>
  <c r="AJ14" i="2"/>
  <c r="AK14" i="2" s="1"/>
  <c r="AK39" i="2"/>
  <c r="AL39" i="2"/>
  <c r="AM39" i="2"/>
  <c r="AL37" i="2" l="1"/>
  <c r="AM37" i="2"/>
  <c r="AM45" i="2"/>
  <c r="AL45" i="2"/>
  <c r="AN48" i="2" s="1"/>
  <c r="AO48" i="2" s="1"/>
  <c r="AK54" i="2"/>
  <c r="AM54" i="2"/>
  <c r="AK6" i="2"/>
  <c r="AM6" i="2"/>
  <c r="AM5" i="2"/>
  <c r="AK5" i="2"/>
  <c r="AL8" i="2"/>
  <c r="AM8" i="2"/>
  <c r="AL24" i="2"/>
  <c r="AM22" i="2"/>
  <c r="AL22" i="2"/>
  <c r="AL7" i="2"/>
  <c r="AM7" i="2"/>
  <c r="AM56" i="2"/>
  <c r="AL56" i="2"/>
  <c r="AM55" i="2"/>
  <c r="AK55" i="2"/>
  <c r="AK53" i="2"/>
  <c r="AL53" i="2"/>
  <c r="AM32" i="2"/>
  <c r="AL32" i="2"/>
  <c r="AK23" i="2"/>
  <c r="AM23" i="2"/>
  <c r="AM24" i="2"/>
  <c r="AL21" i="2"/>
  <c r="AM21" i="2"/>
  <c r="AK15" i="2"/>
  <c r="AN37" i="2"/>
  <c r="AQ37" i="2" s="1"/>
  <c r="AM15" i="2"/>
  <c r="AK30" i="2"/>
  <c r="AM30" i="2"/>
  <c r="AL13" i="2"/>
  <c r="AK13" i="2"/>
  <c r="AN46" i="2"/>
  <c r="AN47" i="2"/>
  <c r="AK16" i="2"/>
  <c r="AM16" i="2"/>
  <c r="AL29" i="2"/>
  <c r="AM29" i="2"/>
  <c r="AM31" i="2"/>
  <c r="AL31" i="2"/>
  <c r="AL14" i="2"/>
  <c r="AM14" i="2"/>
  <c r="AN39" i="2"/>
  <c r="AN38" i="2"/>
  <c r="AN40" i="2" l="1"/>
  <c r="AO40" i="2" s="1"/>
  <c r="AN45" i="2"/>
  <c r="AQ45" i="2" s="1"/>
  <c r="AN8" i="2"/>
  <c r="AO8" i="2" s="1"/>
  <c r="AN6" i="2"/>
  <c r="AP6" i="2" s="1"/>
  <c r="AN5" i="2"/>
  <c r="AO5" i="2" s="1"/>
  <c r="AN22" i="2"/>
  <c r="AO22" i="2" s="1"/>
  <c r="AN7" i="2"/>
  <c r="AO7" i="2" s="1"/>
  <c r="AN23" i="2"/>
  <c r="AP23" i="2" s="1"/>
  <c r="N40" i="1"/>
  <c r="AN54" i="2"/>
  <c r="N57" i="1" s="1"/>
  <c r="D26" i="8" s="1"/>
  <c r="AN53" i="2"/>
  <c r="AO53" i="2" s="1"/>
  <c r="AN56" i="2"/>
  <c r="AQ56" i="2" s="1"/>
  <c r="AN55" i="2"/>
  <c r="AQ55" i="2" s="1"/>
  <c r="AP37" i="2"/>
  <c r="AP40" i="2"/>
  <c r="AO37" i="2"/>
  <c r="N43" i="1"/>
  <c r="F24" i="8" s="1"/>
  <c r="AN24" i="2"/>
  <c r="AQ24" i="2" s="1"/>
  <c r="AN21" i="2"/>
  <c r="N24" i="1" s="1"/>
  <c r="AQ40" i="2"/>
  <c r="N51" i="1"/>
  <c r="F25" i="8" s="1"/>
  <c r="AP48" i="2"/>
  <c r="AQ48" i="2"/>
  <c r="N48" i="1"/>
  <c r="AP47" i="2"/>
  <c r="AQ47" i="2"/>
  <c r="AO47" i="2"/>
  <c r="N50" i="1"/>
  <c r="E25" i="8" s="1"/>
  <c r="AQ46" i="2"/>
  <c r="AO46" i="2"/>
  <c r="AP46" i="2"/>
  <c r="N49" i="1"/>
  <c r="D25" i="8" s="1"/>
  <c r="AN13" i="2"/>
  <c r="AP13" i="2" s="1"/>
  <c r="AN15" i="2"/>
  <c r="AO15" i="2" s="1"/>
  <c r="AN16" i="2"/>
  <c r="AP16" i="2" s="1"/>
  <c r="AN32" i="2"/>
  <c r="AQ32" i="2" s="1"/>
  <c r="AN29" i="2"/>
  <c r="AN30" i="2"/>
  <c r="AN31" i="2"/>
  <c r="AN14" i="2"/>
  <c r="AP14" i="2" s="1"/>
  <c r="AQ39" i="2"/>
  <c r="AP39" i="2"/>
  <c r="AO39" i="2"/>
  <c r="N42" i="1"/>
  <c r="E24" i="8" s="1"/>
  <c r="N41" i="1"/>
  <c r="D24" i="8" s="1"/>
  <c r="AQ38" i="2"/>
  <c r="AO38" i="2"/>
  <c r="AP38" i="2"/>
  <c r="AO45" i="2" l="1"/>
  <c r="AP45" i="2"/>
  <c r="N11" i="1"/>
  <c r="F20" i="8" s="1"/>
  <c r="AP8" i="2"/>
  <c r="A71" i="2"/>
  <c r="C22" i="8"/>
  <c r="N25" i="1"/>
  <c r="D22" i="8" s="1"/>
  <c r="A73" i="2"/>
  <c r="C24" i="8"/>
  <c r="A74" i="2"/>
  <c r="C25" i="8"/>
  <c r="N9" i="1"/>
  <c r="D20" i="8" s="1"/>
  <c r="AQ8" i="2"/>
  <c r="AQ6" i="2"/>
  <c r="AP7" i="2"/>
  <c r="AO6" i="2"/>
  <c r="AQ7" i="2"/>
  <c r="AQ5" i="2"/>
  <c r="N8" i="1"/>
  <c r="V8" i="1" s="1"/>
  <c r="I69" i="2" s="1"/>
  <c r="N10" i="1"/>
  <c r="E20" i="8" s="1"/>
  <c r="AP5" i="2"/>
  <c r="N26" i="1"/>
  <c r="E22" i="8" s="1"/>
  <c r="AQ53" i="2"/>
  <c r="AQ54" i="2"/>
  <c r="AP53" i="2"/>
  <c r="O40" i="1"/>
  <c r="B73" i="2" s="1"/>
  <c r="R40" i="1"/>
  <c r="E73" i="2" s="1"/>
  <c r="T40" i="1"/>
  <c r="G73" i="2" s="1"/>
  <c r="N56" i="1"/>
  <c r="V40" i="1"/>
  <c r="I73" i="2" s="1"/>
  <c r="AQ22" i="2"/>
  <c r="Q40" i="1"/>
  <c r="D73" i="2" s="1"/>
  <c r="AP22" i="2"/>
  <c r="U40" i="1"/>
  <c r="H73" i="2" s="1"/>
  <c r="P40" i="1"/>
  <c r="C73" i="2" s="1"/>
  <c r="S40" i="1"/>
  <c r="F73" i="2" s="1"/>
  <c r="AO55" i="2"/>
  <c r="AP55" i="2"/>
  <c r="N58" i="1"/>
  <c r="R58" i="1" s="1"/>
  <c r="AP56" i="2"/>
  <c r="AP54" i="2"/>
  <c r="AP24" i="2"/>
  <c r="N27" i="1"/>
  <c r="O27" i="1" s="1"/>
  <c r="B83" i="2" s="1"/>
  <c r="AO54" i="2"/>
  <c r="AO24" i="2"/>
  <c r="N59" i="1"/>
  <c r="AO23" i="2"/>
  <c r="AQ23" i="2"/>
  <c r="AO56" i="2"/>
  <c r="Q43" i="1"/>
  <c r="D85" i="2" s="1"/>
  <c r="A85" i="2"/>
  <c r="P51" i="1"/>
  <c r="C86" i="2" s="1"/>
  <c r="A86" i="2"/>
  <c r="AO21" i="2"/>
  <c r="AQ21" i="2"/>
  <c r="AP21" i="2"/>
  <c r="S43" i="1"/>
  <c r="F85" i="2" s="1"/>
  <c r="U43" i="1"/>
  <c r="H85" i="2" s="1"/>
  <c r="T43" i="1"/>
  <c r="G85" i="2" s="1"/>
  <c r="R43" i="1"/>
  <c r="E85" i="2" s="1"/>
  <c r="O43" i="1"/>
  <c r="B85" i="2" s="1"/>
  <c r="P43" i="1"/>
  <c r="V43" i="1"/>
  <c r="I85" i="2" s="1"/>
  <c r="AQ13" i="2"/>
  <c r="AO13" i="2"/>
  <c r="AO16" i="2"/>
  <c r="U51" i="1"/>
  <c r="H86" i="2" s="1"/>
  <c r="R51" i="1"/>
  <c r="E86" i="2" s="1"/>
  <c r="S51" i="1"/>
  <c r="F86" i="2" s="1"/>
  <c r="O51" i="1"/>
  <c r="B86" i="2" s="1"/>
  <c r="Q51" i="1"/>
  <c r="D86" i="2" s="1"/>
  <c r="V51" i="1"/>
  <c r="I86" i="2" s="1"/>
  <c r="T51" i="1"/>
  <c r="G86" i="2" s="1"/>
  <c r="N19" i="1"/>
  <c r="F21" i="8" s="1"/>
  <c r="AQ16" i="2"/>
  <c r="N16" i="1"/>
  <c r="AQ15" i="2"/>
  <c r="N18" i="1"/>
  <c r="P50" i="1"/>
  <c r="T50" i="1"/>
  <c r="R50" i="1"/>
  <c r="S50" i="1"/>
  <c r="Q50" i="1"/>
  <c r="O50" i="1"/>
  <c r="U50" i="1"/>
  <c r="V50" i="1"/>
  <c r="AP15" i="2"/>
  <c r="O49" i="1"/>
  <c r="S49" i="1"/>
  <c r="Q49" i="1"/>
  <c r="T49" i="1"/>
  <c r="U49" i="1"/>
  <c r="V49" i="1"/>
  <c r="P49" i="1"/>
  <c r="R49" i="1"/>
  <c r="T48" i="1"/>
  <c r="G74" i="2" s="1"/>
  <c r="S48" i="1"/>
  <c r="F74" i="2" s="1"/>
  <c r="P48" i="1"/>
  <c r="C74" i="2" s="1"/>
  <c r="Q48" i="1"/>
  <c r="D74" i="2" s="1"/>
  <c r="V48" i="1"/>
  <c r="I74" i="2" s="1"/>
  <c r="R48" i="1"/>
  <c r="E74" i="2" s="1"/>
  <c r="O48" i="1"/>
  <c r="B74" i="2" s="1"/>
  <c r="U48" i="1"/>
  <c r="H74" i="2" s="1"/>
  <c r="AP32" i="2"/>
  <c r="N35" i="1"/>
  <c r="N17" i="1"/>
  <c r="AQ14" i="2"/>
  <c r="AO14" i="2"/>
  <c r="AO32" i="2"/>
  <c r="AP30" i="2"/>
  <c r="AO30" i="2"/>
  <c r="N33" i="1"/>
  <c r="D23" i="8" s="1"/>
  <c r="AQ30" i="2"/>
  <c r="AO29" i="2"/>
  <c r="AQ29" i="2"/>
  <c r="N32" i="1"/>
  <c r="AP29" i="2"/>
  <c r="N34" i="1"/>
  <c r="E23" i="8" s="1"/>
  <c r="AQ31" i="2"/>
  <c r="AO31" i="2"/>
  <c r="AP31" i="2"/>
  <c r="V27" i="1"/>
  <c r="I83" i="2" s="1"/>
  <c r="Q27" i="1"/>
  <c r="D83" i="2" s="1"/>
  <c r="P24" i="1"/>
  <c r="C71" i="2" s="1"/>
  <c r="V24" i="1"/>
  <c r="I71" i="2" s="1"/>
  <c r="T24" i="1"/>
  <c r="G71" i="2" s="1"/>
  <c r="S24" i="1"/>
  <c r="F71" i="2" s="1"/>
  <c r="Q24" i="1"/>
  <c r="D71" i="2" s="1"/>
  <c r="O24" i="1"/>
  <c r="B71" i="2" s="1"/>
  <c r="U24" i="1"/>
  <c r="H71" i="2" s="1"/>
  <c r="R24" i="1"/>
  <c r="E71" i="2" s="1"/>
  <c r="Q26" i="1"/>
  <c r="S41" i="1"/>
  <c r="P41" i="1"/>
  <c r="V41" i="1"/>
  <c r="O41" i="1"/>
  <c r="U41" i="1"/>
  <c r="T41" i="1"/>
  <c r="R41" i="1"/>
  <c r="Q41" i="1"/>
  <c r="P42" i="1"/>
  <c r="S42" i="1"/>
  <c r="R42" i="1"/>
  <c r="U42" i="1"/>
  <c r="Q42" i="1"/>
  <c r="O42" i="1"/>
  <c r="V42" i="1"/>
  <c r="T42" i="1"/>
  <c r="P57" i="1"/>
  <c r="R57" i="1"/>
  <c r="U57" i="1"/>
  <c r="T57" i="1"/>
  <c r="O57" i="1"/>
  <c r="S57" i="1"/>
  <c r="Q57" i="1"/>
  <c r="V57" i="1"/>
  <c r="T11" i="1"/>
  <c r="G81" i="2" s="1"/>
  <c r="S11" i="1"/>
  <c r="F81" i="2" s="1"/>
  <c r="U11" i="1"/>
  <c r="H81" i="2" s="1"/>
  <c r="O11" i="1"/>
  <c r="B81" i="2" s="1"/>
  <c r="R11" i="1"/>
  <c r="E81" i="2" s="1"/>
  <c r="V11" i="1"/>
  <c r="I81" i="2" s="1"/>
  <c r="Q11" i="1"/>
  <c r="D81" i="2" s="1"/>
  <c r="P11" i="1"/>
  <c r="C81" i="2" s="1"/>
  <c r="V58" i="1" l="1"/>
  <c r="T58" i="1"/>
  <c r="P58" i="1"/>
  <c r="M58" i="1" s="1"/>
  <c r="V25" i="1"/>
  <c r="O25" i="1"/>
  <c r="P25" i="1"/>
  <c r="K74" i="1" s="1"/>
  <c r="K83" i="1" s="1"/>
  <c r="P26" i="1"/>
  <c r="R26" i="1"/>
  <c r="T26" i="1"/>
  <c r="O26" i="1"/>
  <c r="Q25" i="1"/>
  <c r="V26" i="1"/>
  <c r="T25" i="1"/>
  <c r="U26" i="1"/>
  <c r="R25" i="1"/>
  <c r="U25" i="1"/>
  <c r="S26" i="1"/>
  <c r="S25" i="1"/>
  <c r="A81" i="2"/>
  <c r="Q9" i="1"/>
  <c r="P9" i="1"/>
  <c r="M9" i="1" s="1"/>
  <c r="V9" i="1"/>
  <c r="T9" i="1"/>
  <c r="R9" i="1"/>
  <c r="U9" i="1"/>
  <c r="S9" i="1"/>
  <c r="O9" i="1"/>
  <c r="R27" i="1"/>
  <c r="E83" i="2" s="1"/>
  <c r="U27" i="1"/>
  <c r="H83" i="2" s="1"/>
  <c r="P27" i="1"/>
  <c r="C83" i="2" s="1"/>
  <c r="S27" i="1"/>
  <c r="F83" i="2" s="1"/>
  <c r="T27" i="1"/>
  <c r="G83" i="2" s="1"/>
  <c r="A83" i="2"/>
  <c r="F22" i="8"/>
  <c r="A84" i="2"/>
  <c r="F23" i="8"/>
  <c r="A72" i="2"/>
  <c r="C23" i="8"/>
  <c r="M40" i="1"/>
  <c r="K74" i="2"/>
  <c r="E75" i="1"/>
  <c r="S58" i="1"/>
  <c r="Q58" i="1"/>
  <c r="U58" i="1"/>
  <c r="E26" i="8"/>
  <c r="A75" i="2"/>
  <c r="C26" i="8"/>
  <c r="P59" i="1"/>
  <c r="M59" i="1" s="1"/>
  <c r="F26" i="8"/>
  <c r="P8" i="1"/>
  <c r="C69" i="2" s="1"/>
  <c r="T8" i="1"/>
  <c r="G69" i="2" s="1"/>
  <c r="S8" i="1"/>
  <c r="F69" i="2" s="1"/>
  <c r="U8" i="1"/>
  <c r="H69" i="2" s="1"/>
  <c r="O8" i="1"/>
  <c r="B69" i="2" s="1"/>
  <c r="Q8" i="1"/>
  <c r="D69" i="2" s="1"/>
  <c r="R8" i="1"/>
  <c r="E69" i="2" s="1"/>
  <c r="Q10" i="1"/>
  <c r="P10" i="1"/>
  <c r="M10" i="1" s="1"/>
  <c r="T10" i="1"/>
  <c r="O10" i="1"/>
  <c r="V10" i="1"/>
  <c r="U10" i="1"/>
  <c r="S10" i="1"/>
  <c r="A69" i="2"/>
  <c r="C20" i="8"/>
  <c r="R10" i="1"/>
  <c r="Q18" i="1"/>
  <c r="E21" i="8"/>
  <c r="A70" i="2"/>
  <c r="C21" i="8"/>
  <c r="R17" i="1"/>
  <c r="D21" i="8"/>
  <c r="S56" i="1"/>
  <c r="F75" i="2" s="1"/>
  <c r="R56" i="1"/>
  <c r="E75" i="2" s="1"/>
  <c r="V56" i="1"/>
  <c r="I75" i="2" s="1"/>
  <c r="Q56" i="1"/>
  <c r="D75" i="2" s="1"/>
  <c r="O56" i="1"/>
  <c r="B75" i="2" s="1"/>
  <c r="T56" i="1"/>
  <c r="G75" i="2" s="1"/>
  <c r="U56" i="1"/>
  <c r="H75" i="2" s="1"/>
  <c r="P56" i="1"/>
  <c r="C75" i="2" s="1"/>
  <c r="U59" i="1"/>
  <c r="H87" i="2" s="1"/>
  <c r="O58" i="1"/>
  <c r="O59" i="1"/>
  <c r="B87" i="2" s="1"/>
  <c r="Q59" i="1"/>
  <c r="D87" i="2" s="1"/>
  <c r="S59" i="1"/>
  <c r="F87" i="2" s="1"/>
  <c r="K86" i="2"/>
  <c r="V59" i="1"/>
  <c r="I87" i="2" s="1"/>
  <c r="A87" i="2"/>
  <c r="T59" i="1"/>
  <c r="G87" i="2" s="1"/>
  <c r="R59" i="1"/>
  <c r="E87" i="2" s="1"/>
  <c r="M51" i="1"/>
  <c r="M43" i="1"/>
  <c r="C85" i="2"/>
  <c r="K85" i="2"/>
  <c r="R19" i="1"/>
  <c r="E82" i="2" s="1"/>
  <c r="A82" i="2"/>
  <c r="T17" i="1"/>
  <c r="P19" i="1"/>
  <c r="S19" i="1"/>
  <c r="F82" i="2" s="1"/>
  <c r="Q19" i="1"/>
  <c r="D82" i="2" s="1"/>
  <c r="K73" i="2"/>
  <c r="U18" i="1"/>
  <c r="V19" i="1"/>
  <c r="I82" i="2" s="1"/>
  <c r="T19" i="1"/>
  <c r="G82" i="2" s="1"/>
  <c r="S18" i="1"/>
  <c r="U19" i="1"/>
  <c r="H82" i="2" s="1"/>
  <c r="O19" i="1"/>
  <c r="B82" i="2" s="1"/>
  <c r="V18" i="1"/>
  <c r="O18" i="1"/>
  <c r="P18" i="1"/>
  <c r="M18" i="1" s="1"/>
  <c r="T18" i="1"/>
  <c r="R18" i="1"/>
  <c r="M42" i="1"/>
  <c r="O16" i="1"/>
  <c r="B70" i="2" s="1"/>
  <c r="M50" i="1"/>
  <c r="R16" i="1"/>
  <c r="E70" i="2" s="1"/>
  <c r="V16" i="1"/>
  <c r="I70" i="2" s="1"/>
  <c r="P17" i="1"/>
  <c r="M17" i="1" s="1"/>
  <c r="V17" i="1"/>
  <c r="P16" i="1"/>
  <c r="C70" i="2" s="1"/>
  <c r="S17" i="1"/>
  <c r="T16" i="1"/>
  <c r="G70" i="2" s="1"/>
  <c r="O17" i="1"/>
  <c r="S16" i="1"/>
  <c r="F70" i="2" s="1"/>
  <c r="Q17" i="1"/>
  <c r="Q16" i="1"/>
  <c r="D70" i="2" s="1"/>
  <c r="U17" i="1"/>
  <c r="U16" i="1"/>
  <c r="H70" i="2" s="1"/>
  <c r="M26" i="1"/>
  <c r="M11" i="1"/>
  <c r="R35" i="1"/>
  <c r="E84" i="2" s="1"/>
  <c r="E77" i="1"/>
  <c r="M48" i="1"/>
  <c r="M49" i="1"/>
  <c r="K75" i="1"/>
  <c r="S35" i="1"/>
  <c r="F84" i="2" s="1"/>
  <c r="T35" i="1"/>
  <c r="G84" i="2" s="1"/>
  <c r="U35" i="1"/>
  <c r="H84" i="2" s="1"/>
  <c r="Q35" i="1"/>
  <c r="D84" i="2" s="1"/>
  <c r="O35" i="1"/>
  <c r="B84" i="2" s="1"/>
  <c r="V35" i="1"/>
  <c r="I84" i="2" s="1"/>
  <c r="P35" i="1"/>
  <c r="C84" i="2" s="1"/>
  <c r="P33" i="1"/>
  <c r="O33" i="1"/>
  <c r="Q33" i="1"/>
  <c r="V33" i="1"/>
  <c r="T33" i="1"/>
  <c r="S33" i="1"/>
  <c r="U33" i="1"/>
  <c r="R33" i="1"/>
  <c r="U32" i="1"/>
  <c r="H72" i="2" s="1"/>
  <c r="Q32" i="1"/>
  <c r="D72" i="2" s="1"/>
  <c r="P32" i="1"/>
  <c r="C72" i="2" s="1"/>
  <c r="R32" i="1"/>
  <c r="E72" i="2" s="1"/>
  <c r="T32" i="1"/>
  <c r="G72" i="2" s="1"/>
  <c r="S32" i="1"/>
  <c r="F72" i="2" s="1"/>
  <c r="O32" i="1"/>
  <c r="B72" i="2" s="1"/>
  <c r="K72" i="2" s="1"/>
  <c r="V32" i="1"/>
  <c r="I72" i="2" s="1"/>
  <c r="Q34" i="1"/>
  <c r="T34" i="1"/>
  <c r="P34" i="1"/>
  <c r="U34" i="1"/>
  <c r="V34" i="1"/>
  <c r="O34" i="1"/>
  <c r="R34" i="1"/>
  <c r="S34" i="1"/>
  <c r="M24" i="1"/>
  <c r="E72" i="1"/>
  <c r="M41" i="1"/>
  <c r="K77" i="1"/>
  <c r="K78" i="1"/>
  <c r="M57" i="1"/>
  <c r="K84" i="2" l="1"/>
  <c r="M25" i="1"/>
  <c r="M27" i="1"/>
  <c r="E88" i="1"/>
  <c r="D32" i="8" s="1"/>
  <c r="F29" i="8"/>
  <c r="K73" i="1"/>
  <c r="E83" i="1" s="1"/>
  <c r="D29" i="8" s="1"/>
  <c r="L74" i="2"/>
  <c r="L73" i="2"/>
  <c r="C87" i="2"/>
  <c r="M8" i="1"/>
  <c r="E71" i="1"/>
  <c r="E81" i="1" s="1"/>
  <c r="K70" i="2"/>
  <c r="L70" i="2" s="1"/>
  <c r="L72" i="2"/>
  <c r="K94" i="1"/>
  <c r="O81" i="1" s="1"/>
  <c r="K91" i="1"/>
  <c r="M56" i="1"/>
  <c r="E76" i="1"/>
  <c r="L86" i="2"/>
  <c r="K82" i="2"/>
  <c r="L82" i="2" s="1"/>
  <c r="L84" i="2"/>
  <c r="L85" i="2"/>
  <c r="M19" i="1"/>
  <c r="C82" i="2"/>
  <c r="K83" i="2"/>
  <c r="L83" i="2" s="1"/>
  <c r="K81" i="2"/>
  <c r="L81" i="2" s="1"/>
  <c r="K69" i="2"/>
  <c r="L69" i="2" s="1"/>
  <c r="K71" i="2"/>
  <c r="L71" i="2" s="1"/>
  <c r="E73" i="1"/>
  <c r="M16" i="1"/>
  <c r="K71" i="1"/>
  <c r="M35" i="1"/>
  <c r="M34" i="1"/>
  <c r="M32" i="1"/>
  <c r="E74" i="1"/>
  <c r="M33" i="1"/>
  <c r="K72" i="1"/>
  <c r="K81" i="1" s="1"/>
  <c r="E29" i="8" s="1"/>
  <c r="G9" i="8" l="1"/>
  <c r="O83" i="1"/>
  <c r="C35" i="8"/>
  <c r="E87" i="1"/>
  <c r="C29" i="8"/>
  <c r="G10" i="8"/>
  <c r="N70" i="2"/>
  <c r="O70" i="2" s="1"/>
  <c r="N82" i="2"/>
  <c r="O82" i="2" s="1"/>
  <c r="N84" i="2"/>
  <c r="O84" i="2" s="1"/>
  <c r="N81" i="2"/>
  <c r="O81" i="2" s="1"/>
  <c r="N83" i="2"/>
  <c r="O83" i="2" s="1"/>
  <c r="N69" i="2"/>
  <c r="O69" i="2" s="1"/>
  <c r="N71" i="2"/>
  <c r="O71" i="2" s="1"/>
  <c r="N72" i="2"/>
  <c r="O72" i="2" s="1"/>
  <c r="E94" i="1" l="1"/>
  <c r="C32" i="8"/>
  <c r="Q71" i="2"/>
  <c r="R71" i="2" s="1"/>
  <c r="Q83" i="2"/>
  <c r="R83" i="2" s="1"/>
  <c r="Q81" i="2"/>
  <c r="R81" i="2" s="1"/>
  <c r="Q84" i="2"/>
  <c r="R84" i="2" s="1"/>
  <c r="Q82" i="2"/>
  <c r="R82" i="2" s="1"/>
  <c r="Q72" i="2"/>
  <c r="R72" i="2" s="1"/>
  <c r="Q69" i="2"/>
  <c r="R69" i="2" s="1"/>
  <c r="Q70" i="2"/>
  <c r="R70" i="2" s="1"/>
  <c r="U62" i="2" l="1"/>
  <c r="W62" i="2" s="1"/>
  <c r="U61" i="2"/>
  <c r="W61" i="2" s="1"/>
  <c r="V61" i="2" l="1"/>
  <c r="X61" i="2" s="1"/>
  <c r="V62" i="2"/>
  <c r="X62" i="2" s="1"/>
  <c r="X63" i="2" l="1"/>
  <c r="Y63" i="2" s="1"/>
  <c r="X64" i="2"/>
  <c r="Z64" i="2" s="1"/>
  <c r="Z62" i="2"/>
  <c r="Y62" i="2"/>
  <c r="Z61" i="2"/>
  <c r="Y61" i="2"/>
  <c r="Z63" i="2" l="1"/>
  <c r="AB62" i="2" s="1"/>
  <c r="AD62" i="2" s="1"/>
  <c r="Y64" i="2"/>
  <c r="AB61" i="2" s="1"/>
  <c r="AB63" i="2" l="1"/>
  <c r="AD63" i="2" s="1"/>
  <c r="AD61" i="2"/>
  <c r="AC61" i="2"/>
  <c r="AE61" i="2"/>
  <c r="AB64" i="2"/>
  <c r="AD64" i="2" s="1"/>
  <c r="AC62" i="2"/>
  <c r="AE62" i="2"/>
  <c r="AC63" i="2" l="1"/>
  <c r="AE63" i="2"/>
  <c r="AF61" i="2"/>
  <c r="AG61" i="2" s="1"/>
  <c r="AE64" i="2"/>
  <c r="AC64" i="2"/>
  <c r="AF62" i="2"/>
  <c r="AI62" i="2" s="1"/>
  <c r="AF64" i="2" l="1"/>
  <c r="AH64" i="2" s="1"/>
  <c r="AI61" i="2"/>
  <c r="AH61" i="2"/>
  <c r="AF63" i="2"/>
  <c r="AI63" i="2" s="1"/>
  <c r="AG62" i="2"/>
  <c r="AH62" i="2"/>
  <c r="AG64" i="2" l="1"/>
  <c r="AI64" i="2"/>
  <c r="AG63" i="2"/>
  <c r="AH63" i="2"/>
  <c r="AJ62" i="2" l="1"/>
  <c r="AK62" i="2" s="1"/>
  <c r="AJ64" i="2"/>
  <c r="AM64" i="2" s="1"/>
  <c r="AJ61" i="2"/>
  <c r="AL61" i="2" s="1"/>
  <c r="AJ63" i="2"/>
  <c r="AM63" i="2" s="1"/>
  <c r="AM62" i="2" l="1"/>
  <c r="AL62" i="2"/>
  <c r="AK64" i="2"/>
  <c r="AL64" i="2"/>
  <c r="AK61" i="2"/>
  <c r="AM61" i="2"/>
  <c r="AK63" i="2"/>
  <c r="AL63" i="2"/>
  <c r="AN64" i="2" l="1"/>
  <c r="AP64" i="2" s="1"/>
  <c r="AN61" i="2"/>
  <c r="AQ61" i="2" s="1"/>
  <c r="AN63" i="2"/>
  <c r="AQ63" i="2" s="1"/>
  <c r="AN62" i="2"/>
  <c r="AQ62" i="2" s="1"/>
  <c r="N67" i="1" l="1"/>
  <c r="AQ64" i="2"/>
  <c r="AO64" i="2"/>
  <c r="N64" i="1"/>
  <c r="AP62" i="2"/>
  <c r="N65" i="1"/>
  <c r="AO61" i="2"/>
  <c r="AO62" i="2"/>
  <c r="AP61" i="2"/>
  <c r="N66" i="1"/>
  <c r="AO63" i="2"/>
  <c r="AP63" i="2"/>
  <c r="V65" i="1" l="1"/>
  <c r="D27" i="8"/>
  <c r="P64" i="1"/>
  <c r="C76" i="2" s="1"/>
  <c r="C27" i="8"/>
  <c r="S66" i="1"/>
  <c r="E27" i="8"/>
  <c r="A88" i="2"/>
  <c r="F27" i="8"/>
  <c r="S64" i="1"/>
  <c r="F76" i="2" s="1"/>
  <c r="U64" i="1"/>
  <c r="H76" i="2" s="1"/>
  <c r="O64" i="1"/>
  <c r="B76" i="2" s="1"/>
  <c r="K75" i="2" s="1"/>
  <c r="L75" i="2" s="1"/>
  <c r="V67" i="1"/>
  <c r="I88" i="2" s="1"/>
  <c r="V64" i="1"/>
  <c r="I76" i="2" s="1"/>
  <c r="Q65" i="1"/>
  <c r="U65" i="1"/>
  <c r="O65" i="1"/>
  <c r="P65" i="1"/>
  <c r="T65" i="1"/>
  <c r="U67" i="1"/>
  <c r="H88" i="2" s="1"/>
  <c r="T64" i="1"/>
  <c r="G76" i="2" s="1"/>
  <c r="S65" i="1"/>
  <c r="T67" i="1"/>
  <c r="G88" i="2" s="1"/>
  <c r="A76" i="2"/>
  <c r="R67" i="1"/>
  <c r="E88" i="2" s="1"/>
  <c r="Q64" i="1"/>
  <c r="D76" i="2" s="1"/>
  <c r="S67" i="1"/>
  <c r="F88" i="2" s="1"/>
  <c r="P67" i="1"/>
  <c r="M67" i="1" s="1"/>
  <c r="R64" i="1"/>
  <c r="E76" i="2" s="1"/>
  <c r="Q67" i="1"/>
  <c r="D88" i="2" s="1"/>
  <c r="R65" i="1"/>
  <c r="O67" i="1"/>
  <c r="B88" i="2" s="1"/>
  <c r="K87" i="2" s="1"/>
  <c r="L87" i="2" s="1"/>
  <c r="O66" i="1"/>
  <c r="Q66" i="1"/>
  <c r="R66" i="1"/>
  <c r="T66" i="1"/>
  <c r="U66" i="1"/>
  <c r="V66" i="1"/>
  <c r="P66" i="1"/>
  <c r="M66" i="1" s="1"/>
  <c r="E78" i="1"/>
  <c r="M64" i="1"/>
  <c r="M65" i="1"/>
  <c r="K76" i="1"/>
  <c r="K76" i="2" l="1"/>
  <c r="L76" i="2" s="1"/>
  <c r="N76" i="2" s="1"/>
  <c r="O76" i="2" s="1"/>
  <c r="B91" i="2"/>
  <c r="B92" i="2" s="1"/>
  <c r="N112" i="2" s="1" a="1"/>
  <c r="N112" i="2" s="1"/>
  <c r="C88" i="2"/>
  <c r="K88" i="2"/>
  <c r="L88" i="2" s="1"/>
  <c r="N88" i="2" s="1"/>
  <c r="O88" i="2" s="1"/>
  <c r="B93" i="2"/>
  <c r="N85" i="2"/>
  <c r="O85" i="2" s="1"/>
  <c r="N87" i="2"/>
  <c r="O87" i="2" s="1"/>
  <c r="N75" i="2"/>
  <c r="O75" i="2" s="1"/>
  <c r="N73" i="2"/>
  <c r="O73" i="2" s="1"/>
  <c r="N74" i="2" l="1"/>
  <c r="O74" i="2" s="1"/>
  <c r="N124" i="2" a="1"/>
  <c r="N124" i="2" s="1"/>
  <c r="N97" i="2" a="1"/>
  <c r="N97" i="2" s="1"/>
  <c r="N127" i="2" a="1"/>
  <c r="N127" i="2" s="1"/>
  <c r="N123" i="2" a="1"/>
  <c r="N123" i="2" s="1"/>
  <c r="N122" i="2" a="1"/>
  <c r="N122" i="2" s="1"/>
  <c r="N121" i="2" a="1"/>
  <c r="N121" i="2" s="1"/>
  <c r="N113" i="2" a="1"/>
  <c r="N113" i="2" s="1"/>
  <c r="N117" i="2" a="1"/>
  <c r="N117" i="2" s="1"/>
  <c r="N116" i="2" a="1"/>
  <c r="N116" i="2" s="1"/>
  <c r="N114" i="2" a="1"/>
  <c r="N114" i="2" s="1"/>
  <c r="N106" i="2" a="1"/>
  <c r="N106" i="2" s="1"/>
  <c r="N110" i="2" a="1"/>
  <c r="N110" i="2" s="1"/>
  <c r="N103" i="2" a="1"/>
  <c r="N103" i="2" s="1"/>
  <c r="N108" i="2" a="1"/>
  <c r="N108" i="2" s="1"/>
  <c r="N100" i="2" a="1"/>
  <c r="N100" i="2" s="1"/>
  <c r="N119" i="2" a="1"/>
  <c r="N119" i="2" s="1"/>
  <c r="B94" i="2"/>
  <c r="U98" i="2" s="1" a="1"/>
  <c r="U98" i="2" s="1"/>
  <c r="N104" i="2" a="1"/>
  <c r="N104" i="2" s="1"/>
  <c r="N128" i="2" a="1"/>
  <c r="N128" i="2" s="1"/>
  <c r="N126" i="2" a="1"/>
  <c r="N126" i="2" s="1"/>
  <c r="N125" i="2" a="1"/>
  <c r="N125" i="2" s="1"/>
  <c r="N111" i="2" a="1"/>
  <c r="N111" i="2" s="1"/>
  <c r="N115" i="2" a="1"/>
  <c r="N115" i="2" s="1"/>
  <c r="N120" i="2" a="1"/>
  <c r="N120" i="2" s="1"/>
  <c r="N118" i="2" a="1"/>
  <c r="N118" i="2" s="1"/>
  <c r="N105" i="2" a="1"/>
  <c r="N105" i="2" s="1"/>
  <c r="N109" i="2" a="1"/>
  <c r="N109" i="2" s="1"/>
  <c r="N107" i="2" a="1"/>
  <c r="N107" i="2" s="1"/>
  <c r="N98" i="2" a="1"/>
  <c r="N98" i="2" s="1"/>
  <c r="N102" i="2" a="1"/>
  <c r="N102" i="2" s="1"/>
  <c r="N101" i="2" a="1"/>
  <c r="N101" i="2" s="1"/>
  <c r="N99" i="2" a="1"/>
  <c r="N99" i="2" s="1"/>
  <c r="N86" i="2"/>
  <c r="O86" i="2" s="1"/>
  <c r="Q87" i="2" s="1"/>
  <c r="R87" i="2" s="1"/>
  <c r="U87" i="2" s="1"/>
  <c r="V87" i="2" s="1"/>
  <c r="Q85" i="2"/>
  <c r="R85" i="2" s="1"/>
  <c r="U85" i="2" s="1"/>
  <c r="V85" i="2" s="1"/>
  <c r="Q88" i="2"/>
  <c r="R88" i="2" s="1"/>
  <c r="Q75" i="2"/>
  <c r="R75" i="2" s="1"/>
  <c r="U75" i="2" s="1"/>
  <c r="V75" i="2" s="1"/>
  <c r="Q73" i="2"/>
  <c r="R73" i="2" s="1"/>
  <c r="U73" i="2" s="1"/>
  <c r="V73" i="2" s="1"/>
  <c r="Q76" i="2"/>
  <c r="R76" i="2" s="1"/>
  <c r="Q74" i="2"/>
  <c r="R74" i="2" s="1"/>
  <c r="K102" i="2" a="1"/>
  <c r="K114" i="2" a="1"/>
  <c r="K105" i="2" a="1"/>
  <c r="K123" i="2" a="1"/>
  <c r="K103" i="2" a="1"/>
  <c r="K126" i="2" a="1"/>
  <c r="K110" i="2" a="1"/>
  <c r="K116" i="2" a="1"/>
  <c r="K124" i="2" a="1"/>
  <c r="K99" i="2" a="1"/>
  <c r="K98" i="2" a="1"/>
  <c r="K111" i="2" a="1"/>
  <c r="K107" i="2" a="1"/>
  <c r="K113" i="2" a="1"/>
  <c r="K109" i="2" a="1"/>
  <c r="Q98" i="2" a="1"/>
  <c r="K108" i="2" a="1"/>
  <c r="K115" i="2" a="1"/>
  <c r="K97" i="2" a="1"/>
  <c r="K125" i="2" a="1"/>
  <c r="K127" i="2" a="1"/>
  <c r="K128" i="2" a="1"/>
  <c r="K117" i="2" a="1"/>
  <c r="K121" i="2" a="1"/>
  <c r="K120" i="2" a="1"/>
  <c r="K106" i="2" a="1"/>
  <c r="K119" i="2" a="1"/>
  <c r="K101" i="2" a="1"/>
  <c r="K112" i="2" a="1"/>
  <c r="K122" i="2" a="1"/>
  <c r="K104" i="2" a="1"/>
  <c r="K100" i="2" a="1"/>
  <c r="K118" i="2" a="1"/>
  <c r="U103" i="2" l="1" a="1"/>
  <c r="U103" i="2" s="1"/>
  <c r="U126" i="2" a="1"/>
  <c r="U126" i="2" s="1"/>
  <c r="U123" i="2" a="1"/>
  <c r="U123" i="2" s="1"/>
  <c r="U120" i="2" a="1"/>
  <c r="U120" i="2" s="1"/>
  <c r="U117" i="2" a="1"/>
  <c r="U117" i="2" s="1"/>
  <c r="U101" i="2" a="1"/>
  <c r="U101" i="2" s="1"/>
  <c r="U128" i="2" a="1"/>
  <c r="U128" i="2" s="1"/>
  <c r="U119" i="2" a="1"/>
  <c r="U119" i="2" s="1"/>
  <c r="U115" i="2" a="1"/>
  <c r="U115" i="2" s="1"/>
  <c r="U102" i="2" a="1"/>
  <c r="U102" i="2" s="1"/>
  <c r="U125" i="2" a="1"/>
  <c r="U125" i="2" s="1"/>
  <c r="U113" i="2" a="1"/>
  <c r="U113" i="2" s="1"/>
  <c r="U97" i="2" a="1"/>
  <c r="U97" i="2" s="1"/>
  <c r="U127" i="2" a="1"/>
  <c r="U127" i="2" s="1"/>
  <c r="U118" i="2" a="1"/>
  <c r="U118" i="2" s="1"/>
  <c r="U122" i="2" a="1"/>
  <c r="U122" i="2" s="1"/>
  <c r="U121" i="2" a="1"/>
  <c r="U121" i="2" s="1"/>
  <c r="U99" i="2" a="1"/>
  <c r="U99" i="2" s="1"/>
  <c r="K102" i="2"/>
  <c r="K113" i="2"/>
  <c r="K119" i="2"/>
  <c r="K105" i="2"/>
  <c r="K109" i="2"/>
  <c r="K126" i="2"/>
  <c r="K99" i="2"/>
  <c r="K117" i="2"/>
  <c r="K107" i="2"/>
  <c r="K121" i="2"/>
  <c r="K104" i="2"/>
  <c r="K101" i="2"/>
  <c r="K100" i="2"/>
  <c r="K108" i="2"/>
  <c r="K128" i="2"/>
  <c r="K118" i="2"/>
  <c r="K115" i="2"/>
  <c r="K114" i="2"/>
  <c r="K106" i="2"/>
  <c r="K127" i="2"/>
  <c r="K125" i="2"/>
  <c r="K124" i="2"/>
  <c r="K111" i="2"/>
  <c r="K120" i="2"/>
  <c r="K123" i="2"/>
  <c r="K122" i="2"/>
  <c r="K112" i="2"/>
  <c r="K110" i="2"/>
  <c r="K116" i="2"/>
  <c r="K103" i="2"/>
  <c r="U124" i="2" a="1"/>
  <c r="U124" i="2" s="1"/>
  <c r="U111" i="2" a="1"/>
  <c r="U111" i="2" s="1"/>
  <c r="K97" i="2"/>
  <c r="U116" i="2" a="1"/>
  <c r="U116" i="2" s="1"/>
  <c r="U109" i="2" a="1"/>
  <c r="U109" i="2" s="1"/>
  <c r="U107" i="2" a="1"/>
  <c r="U107" i="2" s="1"/>
  <c r="U112" i="2" a="1"/>
  <c r="U112" i="2" s="1"/>
  <c r="U110" i="2" a="1"/>
  <c r="U110" i="2" s="1"/>
  <c r="U114" i="2" a="1"/>
  <c r="U114" i="2" s="1"/>
  <c r="U106" i="2" a="1"/>
  <c r="U106" i="2" s="1"/>
  <c r="U105" i="2" a="1"/>
  <c r="U105" i="2" s="1"/>
  <c r="U104" i="2" a="1"/>
  <c r="U104" i="2" s="1"/>
  <c r="U108" i="2" a="1"/>
  <c r="U108" i="2" s="1"/>
  <c r="U100" i="2" a="1"/>
  <c r="U100" i="2" s="1"/>
  <c r="Q98" i="2"/>
  <c r="K98" i="2"/>
  <c r="Q86" i="2"/>
  <c r="R86" i="2" s="1"/>
  <c r="U86" i="2" s="1"/>
  <c r="V86" i="2" s="1"/>
  <c r="U81" i="2"/>
  <c r="V81" i="2" s="1"/>
  <c r="U83" i="2"/>
  <c r="V83" i="2" s="1"/>
  <c r="U88" i="2"/>
  <c r="V88" i="2" s="1"/>
  <c r="U84" i="2"/>
  <c r="V84" i="2" s="1"/>
  <c r="X84" i="2" s="1"/>
  <c r="Y84" i="2" s="1"/>
  <c r="U71" i="2"/>
  <c r="V71" i="2" s="1"/>
  <c r="U69" i="2"/>
  <c r="V69" i="2" s="1"/>
  <c r="U74" i="2"/>
  <c r="V74" i="2" s="1"/>
  <c r="U70" i="2"/>
  <c r="V70" i="2" s="1"/>
  <c r="U76" i="2"/>
  <c r="V76" i="2" s="1"/>
  <c r="U72" i="2"/>
  <c r="V72" i="2" s="1"/>
  <c r="Q104" i="2" a="1"/>
  <c r="Q128" i="2" a="1"/>
  <c r="Q127" i="2" a="1"/>
  <c r="Q120" i="2" a="1"/>
  <c r="Q115" i="2" a="1"/>
  <c r="Q123" i="2" a="1"/>
  <c r="Q109" i="2" a="1"/>
  <c r="Q117" i="2" a="1"/>
  <c r="Q105" i="2" a="1"/>
  <c r="Q111" i="2" a="1"/>
  <c r="Q122" i="2" a="1"/>
  <c r="Q110" i="2" a="1"/>
  <c r="Q103" i="2" a="1"/>
  <c r="Q107" i="2" a="1"/>
  <c r="Q119" i="2" a="1"/>
  <c r="Q114" i="2" a="1"/>
  <c r="Q113" i="2" a="1"/>
  <c r="Q100" i="2" a="1"/>
  <c r="Q108" i="2" a="1"/>
  <c r="Q112" i="2" a="1"/>
  <c r="Q125" i="2" a="1"/>
  <c r="Q121" i="2" a="1"/>
  <c r="Q97" i="2" a="1"/>
  <c r="Q118" i="2" a="1"/>
  <c r="Q101" i="2" a="1"/>
  <c r="Q126" i="2" a="1"/>
  <c r="Q99" i="2" a="1"/>
  <c r="Q102" i="2" a="1"/>
  <c r="Q116" i="2" a="1"/>
  <c r="Q106" i="2" a="1"/>
  <c r="Q124" i="2" a="1"/>
  <c r="X97" i="2" l="1" a="1"/>
  <c r="X97" i="2" s="1"/>
  <c r="Q103" i="2"/>
  <c r="Q99" i="2"/>
  <c r="Q102" i="2"/>
  <c r="Q101" i="2"/>
  <c r="Q97" i="2"/>
  <c r="Q111" i="2"/>
  <c r="Q127" i="2"/>
  <c r="Q126" i="2"/>
  <c r="Q128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2" i="2"/>
  <c r="Q113" i="2"/>
  <c r="Q110" i="2"/>
  <c r="Q100" i="2"/>
  <c r="Q107" i="2"/>
  <c r="Q108" i="2"/>
  <c r="Q109" i="2"/>
  <c r="Q104" i="2"/>
  <c r="Q106" i="2"/>
  <c r="Q105" i="2"/>
  <c r="X86" i="2"/>
  <c r="Y86" i="2" s="1"/>
  <c r="AB84" i="2" s="1"/>
  <c r="AC84" i="2" s="1"/>
  <c r="U82" i="2"/>
  <c r="V82" i="2" s="1"/>
  <c r="X82" i="2" s="1"/>
  <c r="Y82" i="2" s="1"/>
  <c r="X88" i="2"/>
  <c r="Y88" i="2" s="1"/>
  <c r="X83" i="2"/>
  <c r="Y83" i="2" s="1"/>
  <c r="X87" i="2"/>
  <c r="Y87" i="2" s="1"/>
  <c r="X81" i="2"/>
  <c r="Y81" i="2" s="1"/>
  <c r="X69" i="2"/>
  <c r="Y69" i="2" s="1"/>
  <c r="X76" i="2"/>
  <c r="Y76" i="2" s="1"/>
  <c r="X72" i="2"/>
  <c r="Y72" i="2" s="1"/>
  <c r="X75" i="2"/>
  <c r="Y75" i="2" s="1"/>
  <c r="X71" i="2"/>
  <c r="Y71" i="2" s="1"/>
  <c r="X74" i="2"/>
  <c r="Y74" i="2" s="1"/>
  <c r="X70" i="2"/>
  <c r="Y70" i="2" s="1"/>
  <c r="X73" i="2"/>
  <c r="Y73" i="2" s="1"/>
  <c r="AB86" i="2" l="1"/>
  <c r="AC86" i="2" s="1"/>
  <c r="X85" i="2"/>
  <c r="Y85" i="2" s="1"/>
  <c r="AB83" i="2" s="1"/>
  <c r="AC83" i="2" s="1"/>
  <c r="AB97" i="2" a="1"/>
  <c r="AB97" i="2" s="1"/>
  <c r="AB88" i="2"/>
  <c r="AC88" i="2" s="1"/>
  <c r="AB82" i="2"/>
  <c r="AC82" i="2" s="1"/>
  <c r="AB69" i="2"/>
  <c r="AC69" i="2" s="1"/>
  <c r="AB87" i="2"/>
  <c r="AC87" i="2" s="1"/>
  <c r="AB81" i="2"/>
  <c r="AC81" i="2" s="1"/>
  <c r="AB76" i="2"/>
  <c r="AC76" i="2" s="1"/>
  <c r="AB70" i="2"/>
  <c r="AC70" i="2" s="1"/>
  <c r="AB71" i="2"/>
  <c r="AC71" i="2" s="1"/>
  <c r="AB73" i="2"/>
  <c r="AC73" i="2" s="1"/>
  <c r="AB74" i="2"/>
  <c r="AC74" i="2" s="1"/>
  <c r="AB72" i="2"/>
  <c r="AC72" i="2" s="1"/>
  <c r="AB75" i="2"/>
  <c r="AC75" i="2" s="1"/>
  <c r="AF87" i="2" l="1"/>
  <c r="AG87" i="2" s="1"/>
  <c r="AF88" i="2"/>
  <c r="AG88" i="2" s="1"/>
  <c r="AF86" i="2"/>
  <c r="AH86" i="2" s="1"/>
  <c r="AF83" i="2"/>
  <c r="AH83" i="2" s="1"/>
  <c r="AB85" i="2"/>
  <c r="AC85" i="2" s="1"/>
  <c r="AF85" i="2" s="1"/>
  <c r="AH85" i="2" s="1"/>
  <c r="AF76" i="2"/>
  <c r="AG76" i="2" s="1"/>
  <c r="AF82" i="2"/>
  <c r="AH82" i="2" s="1"/>
  <c r="AF81" i="2"/>
  <c r="AG81" i="2" s="1"/>
  <c r="AF71" i="2"/>
  <c r="AH71" i="2" s="1"/>
  <c r="AF74" i="2"/>
  <c r="AF70" i="2"/>
  <c r="AH70" i="2" s="1"/>
  <c r="AF75" i="2"/>
  <c r="AF69" i="2"/>
  <c r="AF73" i="2"/>
  <c r="AF72" i="2"/>
  <c r="AH72" i="2" s="1"/>
  <c r="AH87" i="2" l="1"/>
  <c r="AH88" i="2"/>
  <c r="AG86" i="2"/>
  <c r="AG83" i="2"/>
  <c r="AG85" i="2"/>
  <c r="AF84" i="2"/>
  <c r="AH84" i="2" s="1"/>
  <c r="AH76" i="2"/>
  <c r="AG82" i="2"/>
  <c r="AH81" i="2"/>
  <c r="AG73" i="2"/>
  <c r="AH73" i="2"/>
  <c r="AG75" i="2"/>
  <c r="AH75" i="2"/>
  <c r="AG74" i="2"/>
  <c r="AH74" i="2"/>
  <c r="AG72" i="2"/>
  <c r="AG69" i="2"/>
  <c r="AH69" i="2"/>
  <c r="AG70" i="2"/>
  <c r="AG71" i="2"/>
  <c r="AJ88" i="2" l="1"/>
  <c r="AK88" i="2" s="1"/>
  <c r="AJ87" i="2"/>
  <c r="AK87" i="2" s="1"/>
  <c r="AJ85" i="2"/>
  <c r="AL85" i="2" s="1"/>
  <c r="AJ86" i="2"/>
  <c r="AL86" i="2" s="1"/>
  <c r="AG84" i="2"/>
  <c r="AJ83" i="2" s="1"/>
  <c r="AL83" i="2" s="1"/>
  <c r="AJ82" i="2"/>
  <c r="AK82" i="2" s="1"/>
  <c r="AJ81" i="2"/>
  <c r="AL81" i="2" s="1"/>
  <c r="AL88" i="2"/>
  <c r="AJ69" i="2"/>
  <c r="AJ70" i="2"/>
  <c r="AJ76" i="2"/>
  <c r="AJ75" i="2"/>
  <c r="AJ72" i="2"/>
  <c r="AJ71" i="2"/>
  <c r="AJ74" i="2"/>
  <c r="AJ73" i="2"/>
  <c r="AL87" i="2" l="1"/>
  <c r="AK85" i="2"/>
  <c r="AL82" i="2"/>
  <c r="AK86" i="2"/>
  <c r="AN88" i="2" s="1"/>
  <c r="AK83" i="2"/>
  <c r="AJ84" i="2"/>
  <c r="AK84" i="2" s="1"/>
  <c r="AK81" i="2"/>
  <c r="AL74" i="2"/>
  <c r="AK74" i="2"/>
  <c r="AK73" i="2"/>
  <c r="AL73" i="2"/>
  <c r="AL76" i="2"/>
  <c r="AK76" i="2"/>
  <c r="AL71" i="2"/>
  <c r="AK71" i="2"/>
  <c r="AL70" i="2"/>
  <c r="AK70" i="2"/>
  <c r="AL72" i="2"/>
  <c r="AK72" i="2"/>
  <c r="AL75" i="2"/>
  <c r="AK75" i="2"/>
  <c r="AK69" i="2"/>
  <c r="AL69" i="2"/>
  <c r="AN85" i="2" l="1"/>
  <c r="AN87" i="2"/>
  <c r="AO87" i="2" s="1"/>
  <c r="AN86" i="2"/>
  <c r="AP86" i="2" s="1"/>
  <c r="AN81" i="2"/>
  <c r="AP81" i="2" s="1"/>
  <c r="AL84" i="2"/>
  <c r="AN84" i="2" s="1"/>
  <c r="AP84" i="2" s="1"/>
  <c r="AN83" i="2"/>
  <c r="AP83" i="2" s="1"/>
  <c r="AP85" i="2"/>
  <c r="AO85" i="2"/>
  <c r="AO88" i="2"/>
  <c r="AP88" i="2"/>
  <c r="AN71" i="2"/>
  <c r="AN75" i="2"/>
  <c r="AN73" i="2"/>
  <c r="AN76" i="2"/>
  <c r="AN74" i="2"/>
  <c r="AN72" i="2"/>
  <c r="AN70" i="2"/>
  <c r="AN69" i="2"/>
  <c r="AP87" i="2" l="1"/>
  <c r="AO81" i="2"/>
  <c r="AO86" i="2"/>
  <c r="AO84" i="2"/>
  <c r="AN82" i="2"/>
  <c r="AO83" i="2"/>
  <c r="AR88" i="2"/>
  <c r="AR85" i="2"/>
  <c r="AP69" i="2"/>
  <c r="AO69" i="2"/>
  <c r="AP70" i="2"/>
  <c r="AO70" i="2"/>
  <c r="AP73" i="2"/>
  <c r="AO73" i="2"/>
  <c r="AP72" i="2"/>
  <c r="AO72" i="2"/>
  <c r="AP74" i="2"/>
  <c r="AO74" i="2"/>
  <c r="AP76" i="2"/>
  <c r="AO76" i="2"/>
  <c r="AP75" i="2"/>
  <c r="AO75" i="2"/>
  <c r="AP71" i="2"/>
  <c r="AO71" i="2"/>
  <c r="AR84" i="2" l="1"/>
  <c r="AS84" i="2" s="1"/>
  <c r="AR87" i="2"/>
  <c r="AS87" i="2" s="1"/>
  <c r="AR86" i="2"/>
  <c r="AS86" i="2" s="1"/>
  <c r="AR81" i="2"/>
  <c r="AT81" i="2" s="1"/>
  <c r="AP82" i="2"/>
  <c r="AO82" i="2"/>
  <c r="AS88" i="2"/>
  <c r="AT88" i="2"/>
  <c r="AT85" i="2"/>
  <c r="AS85" i="2"/>
  <c r="AR76" i="2"/>
  <c r="AR73" i="2"/>
  <c r="AR71" i="2"/>
  <c r="AR70" i="2"/>
  <c r="AR75" i="2"/>
  <c r="AR74" i="2"/>
  <c r="AR72" i="2"/>
  <c r="AR69" i="2"/>
  <c r="AT84" i="2" l="1"/>
  <c r="AV84" i="2" s="1"/>
  <c r="AW84" i="2" s="1"/>
  <c r="AT87" i="2"/>
  <c r="AT86" i="2"/>
  <c r="AS81" i="2"/>
  <c r="AV85" i="2" s="1"/>
  <c r="AW85" i="2" s="1"/>
  <c r="AR82" i="2"/>
  <c r="AT82" i="2" s="1"/>
  <c r="AR83" i="2"/>
  <c r="AT83" i="2" s="1"/>
  <c r="AS72" i="2"/>
  <c r="AT72" i="2"/>
  <c r="AT71" i="2"/>
  <c r="AS71" i="2"/>
  <c r="AT69" i="2"/>
  <c r="AS69" i="2"/>
  <c r="AT74" i="2"/>
  <c r="AS74" i="2"/>
  <c r="AT73" i="2"/>
  <c r="AS73" i="2"/>
  <c r="AT75" i="2"/>
  <c r="AS75" i="2"/>
  <c r="AT70" i="2"/>
  <c r="AS70" i="2"/>
  <c r="AS76" i="2"/>
  <c r="AT76" i="2"/>
  <c r="AV88" i="2" l="1"/>
  <c r="AX88" i="2" s="1"/>
  <c r="AV81" i="2"/>
  <c r="AX81" i="2" s="1"/>
  <c r="AS82" i="2"/>
  <c r="AV86" i="2" s="1"/>
  <c r="AS83" i="2"/>
  <c r="AV83" i="2" s="1"/>
  <c r="AW83" i="2" s="1"/>
  <c r="AX85" i="2"/>
  <c r="AX84" i="2"/>
  <c r="AW81" i="2"/>
  <c r="AV70" i="2"/>
  <c r="AV74" i="2"/>
  <c r="AV71" i="2"/>
  <c r="AV75" i="2"/>
  <c r="AV73" i="2"/>
  <c r="AV69" i="2"/>
  <c r="AV72" i="2"/>
  <c r="AV76" i="2"/>
  <c r="AW88" i="2" l="1"/>
  <c r="AV82" i="2"/>
  <c r="AW82" i="2" s="1"/>
  <c r="AX86" i="2"/>
  <c r="AW86" i="2"/>
  <c r="AV87" i="2"/>
  <c r="AW87" i="2" s="1"/>
  <c r="AX83" i="2"/>
  <c r="AW72" i="2"/>
  <c r="AX72" i="2"/>
  <c r="AX71" i="2"/>
  <c r="AW71" i="2"/>
  <c r="AX76" i="2"/>
  <c r="AW76" i="2"/>
  <c r="AX73" i="2"/>
  <c r="AW73" i="2"/>
  <c r="AX74" i="2"/>
  <c r="AW74" i="2"/>
  <c r="AX69" i="2"/>
  <c r="AW69" i="2"/>
  <c r="AX75" i="2"/>
  <c r="AW75" i="2"/>
  <c r="AW70" i="2"/>
  <c r="AX70" i="2"/>
  <c r="AZ83" i="2" l="1"/>
  <c r="BA83" i="2" s="1"/>
  <c r="AZ81" i="2"/>
  <c r="BB81" i="2" s="1"/>
  <c r="AX82" i="2"/>
  <c r="AZ85" i="2" s="1"/>
  <c r="AZ86" i="2"/>
  <c r="BA86" i="2" s="1"/>
  <c r="AZ88" i="2"/>
  <c r="BA88" i="2" s="1"/>
  <c r="AX87" i="2"/>
  <c r="AZ84" i="2" s="1"/>
  <c r="BB84" i="2" s="1"/>
  <c r="AZ73" i="2"/>
  <c r="AZ70" i="2"/>
  <c r="AZ76" i="2"/>
  <c r="AZ71" i="2"/>
  <c r="AZ74" i="2"/>
  <c r="AZ69" i="2"/>
  <c r="AZ75" i="2"/>
  <c r="AZ72" i="2"/>
  <c r="BB83" i="2" l="1"/>
  <c r="BB86" i="2"/>
  <c r="BA81" i="2"/>
  <c r="BB85" i="2"/>
  <c r="BA85" i="2"/>
  <c r="AZ82" i="2"/>
  <c r="BA82" i="2" s="1"/>
  <c r="BB88" i="2"/>
  <c r="AZ87" i="2"/>
  <c r="BA87" i="2" s="1"/>
  <c r="BA84" i="2"/>
  <c r="BB75" i="2"/>
  <c r="BA75" i="2"/>
  <c r="BB76" i="2"/>
  <c r="BA76" i="2"/>
  <c r="BB69" i="2"/>
  <c r="BA69" i="2"/>
  <c r="BB70" i="2"/>
  <c r="BA70" i="2"/>
  <c r="BB72" i="2"/>
  <c r="BA72" i="2"/>
  <c r="BA74" i="2"/>
  <c r="BB74" i="2"/>
  <c r="BB71" i="2"/>
  <c r="BA71" i="2"/>
  <c r="BB73" i="2"/>
  <c r="BA73" i="2"/>
  <c r="BD84" i="2" l="1"/>
  <c r="BE84" i="2" s="1"/>
  <c r="BD83" i="2"/>
  <c r="BE83" i="2" s="1"/>
  <c r="BD85" i="2"/>
  <c r="BE85" i="2" s="1"/>
  <c r="BB82" i="2"/>
  <c r="BD82" i="2" s="1"/>
  <c r="BF82" i="2" s="1"/>
  <c r="BD86" i="2"/>
  <c r="BF86" i="2" s="1"/>
  <c r="BB87" i="2"/>
  <c r="BD81" i="2" s="1"/>
  <c r="BF81" i="2" s="1"/>
  <c r="BD76" i="2"/>
  <c r="BD70" i="2"/>
  <c r="BD75" i="2"/>
  <c r="BD69" i="2"/>
  <c r="BD74" i="2"/>
  <c r="BD72" i="2"/>
  <c r="BD71" i="2"/>
  <c r="BD73" i="2"/>
  <c r="BF84" i="2" l="1"/>
  <c r="BF83" i="2"/>
  <c r="BF85" i="2"/>
  <c r="BH85" i="2" s="1"/>
  <c r="BI85" i="2" s="1"/>
  <c r="BE86" i="2"/>
  <c r="BD88" i="2"/>
  <c r="BE88" i="2" s="1"/>
  <c r="BE81" i="2"/>
  <c r="BD87" i="2"/>
  <c r="BE87" i="2" s="1"/>
  <c r="BE82" i="2"/>
  <c r="BF71" i="2"/>
  <c r="BE71" i="2"/>
  <c r="BF75" i="2"/>
  <c r="BE75" i="2"/>
  <c r="BF74" i="2"/>
  <c r="BE74" i="2"/>
  <c r="BF70" i="2"/>
  <c r="BE70" i="2"/>
  <c r="BE73" i="2"/>
  <c r="BF73" i="2"/>
  <c r="BF72" i="2"/>
  <c r="BE72" i="2"/>
  <c r="BE69" i="2"/>
  <c r="BF69" i="2"/>
  <c r="BE76" i="2"/>
  <c r="BF76" i="2"/>
  <c r="BH84" i="2" l="1"/>
  <c r="BI84" i="2" s="1"/>
  <c r="BH83" i="2"/>
  <c r="BJ83" i="2" s="1"/>
  <c r="BH86" i="2"/>
  <c r="BK86" i="2" s="1"/>
  <c r="BF88" i="2"/>
  <c r="BH88" i="2" s="1"/>
  <c r="BI88" i="2" s="1"/>
  <c r="BF87" i="2"/>
  <c r="BH82" i="2" s="1"/>
  <c r="BI82" i="2" s="1"/>
  <c r="BJ86" i="2"/>
  <c r="BJ85" i="2"/>
  <c r="BJ84" i="2"/>
  <c r="BK84" i="2"/>
  <c r="BK83" i="2"/>
  <c r="BI83" i="2"/>
  <c r="BK85" i="2"/>
  <c r="BH75" i="2"/>
  <c r="BK75" i="2" s="1"/>
  <c r="BH70" i="2"/>
  <c r="BK70" i="2" s="1"/>
  <c r="BH73" i="2"/>
  <c r="BK73" i="2" s="1"/>
  <c r="BH72" i="2"/>
  <c r="BK72" i="2" s="1"/>
  <c r="BH74" i="2"/>
  <c r="BK74" i="2" s="1"/>
  <c r="BH71" i="2"/>
  <c r="BK71" i="2" s="1"/>
  <c r="BH69" i="2"/>
  <c r="BK69" i="2" s="1"/>
  <c r="BH76" i="2"/>
  <c r="BK76" i="2" s="1"/>
  <c r="BI86" i="2" l="1"/>
  <c r="BK88" i="2"/>
  <c r="BJ88" i="2"/>
  <c r="BH81" i="2"/>
  <c r="BJ82" i="2"/>
  <c r="BK82" i="2"/>
  <c r="BH87" i="2"/>
  <c r="BK87" i="2" s="1"/>
  <c r="BL85" i="2"/>
  <c r="BM85" i="2" s="1"/>
  <c r="BL86" i="2"/>
  <c r="BM86" i="2" s="1"/>
  <c r="BL83" i="2"/>
  <c r="BO83" i="2" s="1"/>
  <c r="BL84" i="2"/>
  <c r="BO84" i="2" s="1"/>
  <c r="BJ69" i="2"/>
  <c r="BI69" i="2"/>
  <c r="BJ72" i="2"/>
  <c r="BI72" i="2"/>
  <c r="BJ76" i="2"/>
  <c r="BI76" i="2"/>
  <c r="BJ71" i="2"/>
  <c r="BI71" i="2"/>
  <c r="BJ70" i="2"/>
  <c r="BI70" i="2"/>
  <c r="BI74" i="2"/>
  <c r="BJ74" i="2"/>
  <c r="BJ73" i="2"/>
  <c r="BI73" i="2"/>
  <c r="BJ75" i="2"/>
  <c r="BI75" i="2"/>
  <c r="BJ81" i="2" l="1"/>
  <c r="BK81" i="2"/>
  <c r="BI81" i="2"/>
  <c r="BJ87" i="2"/>
  <c r="BI87" i="2"/>
  <c r="BN86" i="2"/>
  <c r="BO85" i="2"/>
  <c r="BN85" i="2"/>
  <c r="BM83" i="2"/>
  <c r="BN83" i="2"/>
  <c r="BO86" i="2"/>
  <c r="BN84" i="2"/>
  <c r="BM84" i="2"/>
  <c r="BL73" i="2"/>
  <c r="BN73" i="2" s="1"/>
  <c r="BL72" i="2"/>
  <c r="BL76" i="2"/>
  <c r="BL75" i="2"/>
  <c r="BL71" i="2"/>
  <c r="BL74" i="2"/>
  <c r="BL70" i="2"/>
  <c r="BL69" i="2"/>
  <c r="BL82" i="2" l="1"/>
  <c r="BM82" i="2" s="1"/>
  <c r="BL81" i="2"/>
  <c r="BL87" i="2"/>
  <c r="BL88" i="2"/>
  <c r="BO73" i="2"/>
  <c r="BM73" i="2"/>
  <c r="BO72" i="2"/>
  <c r="BN72" i="2"/>
  <c r="BM72" i="2"/>
  <c r="BN71" i="2"/>
  <c r="BM71" i="2"/>
  <c r="BO71" i="2"/>
  <c r="BO70" i="2"/>
  <c r="BN70" i="2"/>
  <c r="BM70" i="2"/>
  <c r="BO76" i="2"/>
  <c r="BN76" i="2"/>
  <c r="BM76" i="2"/>
  <c r="BO75" i="2"/>
  <c r="BN75" i="2"/>
  <c r="BM75" i="2"/>
  <c r="BM74" i="2"/>
  <c r="BN74" i="2"/>
  <c r="BO74" i="2"/>
  <c r="BO69" i="2"/>
  <c r="BM69" i="2"/>
  <c r="BN69" i="2"/>
  <c r="BO82" i="2" l="1"/>
  <c r="BN82" i="2"/>
  <c r="BM81" i="2"/>
  <c r="BN81" i="2"/>
  <c r="BO81" i="2"/>
  <c r="BO88" i="2"/>
  <c r="BM88" i="2"/>
  <c r="BN88" i="2"/>
  <c r="BO87" i="2"/>
  <c r="BN87" i="2"/>
  <c r="BM87" i="2"/>
  <c r="BP75" i="2"/>
  <c r="BS75" i="2" s="1"/>
  <c r="BP71" i="2"/>
  <c r="BP69" i="2"/>
  <c r="BP73" i="2"/>
  <c r="BP76" i="2"/>
  <c r="BP74" i="2"/>
  <c r="BP72" i="2"/>
  <c r="BP70" i="2"/>
  <c r="BP84" i="2" l="1"/>
  <c r="BS84" i="2" s="1"/>
  <c r="BP82" i="2"/>
  <c r="BR82" i="2" s="1"/>
  <c r="BP81" i="2"/>
  <c r="BP83" i="2"/>
  <c r="BP85" i="2"/>
  <c r="BP87" i="2"/>
  <c r="BP88" i="2"/>
  <c r="BP86" i="2"/>
  <c r="BR75" i="2"/>
  <c r="BQ75" i="2"/>
  <c r="BS69" i="2"/>
  <c r="BR69" i="2"/>
  <c r="BQ69" i="2"/>
  <c r="BS71" i="2"/>
  <c r="BR71" i="2"/>
  <c r="BQ71" i="2"/>
  <c r="BS73" i="2"/>
  <c r="BR73" i="2"/>
  <c r="BQ73" i="2"/>
  <c r="BS74" i="2"/>
  <c r="BR74" i="2"/>
  <c r="BQ74" i="2"/>
  <c r="BS76" i="2"/>
  <c r="BR76" i="2"/>
  <c r="BQ76" i="2"/>
  <c r="BS70" i="2"/>
  <c r="BQ70" i="2"/>
  <c r="BR70" i="2"/>
  <c r="BS72" i="2"/>
  <c r="BQ72" i="2"/>
  <c r="BR72" i="2"/>
  <c r="BQ84" i="2" l="1"/>
  <c r="BR84" i="2"/>
  <c r="BS82" i="2"/>
  <c r="BQ82" i="2"/>
  <c r="BS83" i="2"/>
  <c r="BQ83" i="2"/>
  <c r="BR83" i="2"/>
  <c r="BR81" i="2"/>
  <c r="BS81" i="2"/>
  <c r="BQ81" i="2"/>
  <c r="BS86" i="2"/>
  <c r="BR86" i="2"/>
  <c r="BQ86" i="2"/>
  <c r="BS88" i="2"/>
  <c r="BR88" i="2"/>
  <c r="BQ88" i="2"/>
  <c r="BS87" i="2"/>
  <c r="BQ87" i="2"/>
  <c r="BR87" i="2"/>
  <c r="BR85" i="2"/>
  <c r="BS85" i="2"/>
  <c r="BQ85" i="2"/>
  <c r="BT74" i="2"/>
  <c r="BT75" i="2"/>
  <c r="BT76" i="2"/>
  <c r="BT73" i="2"/>
  <c r="BT72" i="2"/>
  <c r="BT69" i="2"/>
  <c r="BT70" i="2"/>
  <c r="BT71" i="2"/>
  <c r="BT84" i="2" l="1"/>
  <c r="BT81" i="2"/>
  <c r="BT82" i="2"/>
  <c r="BT83" i="2"/>
  <c r="BT85" i="2"/>
  <c r="BT88" i="2"/>
  <c r="BT86" i="2"/>
  <c r="BT87" i="2"/>
  <c r="BW75" i="2"/>
  <c r="BU75" i="2"/>
  <c r="BV75" i="2"/>
  <c r="BV73" i="2"/>
  <c r="BU73" i="2"/>
  <c r="BW73" i="2"/>
  <c r="BV76" i="2"/>
  <c r="BU76" i="2"/>
  <c r="BW76" i="2"/>
  <c r="BV74" i="2"/>
  <c r="BW74" i="2"/>
  <c r="BU74" i="2"/>
  <c r="BW71" i="2"/>
  <c r="BU71" i="2"/>
  <c r="BV71" i="2"/>
  <c r="BU70" i="2"/>
  <c r="BW70" i="2"/>
  <c r="BV70" i="2"/>
  <c r="BV69" i="2"/>
  <c r="BU69" i="2"/>
  <c r="BW69" i="2"/>
  <c r="BW72" i="2"/>
  <c r="BV72" i="2"/>
  <c r="BU72" i="2"/>
  <c r="BW81" i="2" l="1"/>
  <c r="BV81" i="2"/>
  <c r="BU81" i="2"/>
  <c r="BW84" i="2"/>
  <c r="BV84" i="2"/>
  <c r="BU84" i="2"/>
  <c r="BU83" i="2"/>
  <c r="BV83" i="2"/>
  <c r="BW83" i="2"/>
  <c r="BV82" i="2"/>
  <c r="BU82" i="2"/>
  <c r="BW82" i="2"/>
  <c r="BV87" i="2"/>
  <c r="BU87" i="2"/>
  <c r="BW87" i="2"/>
  <c r="BW86" i="2"/>
  <c r="BV86" i="2"/>
  <c r="BU86" i="2"/>
  <c r="BW88" i="2"/>
  <c r="BV88" i="2"/>
  <c r="BU88" i="2"/>
  <c r="BU85" i="2"/>
  <c r="BV85" i="2"/>
  <c r="BW85" i="2"/>
  <c r="BX74" i="2"/>
  <c r="BX70" i="2"/>
  <c r="BX73" i="2"/>
  <c r="BX69" i="2"/>
  <c r="BX76" i="2"/>
  <c r="BX72" i="2"/>
  <c r="BX75" i="2"/>
  <c r="BX71" i="2"/>
  <c r="BX82" i="2" l="1"/>
  <c r="BX86" i="2"/>
  <c r="BX81" i="2"/>
  <c r="BX85" i="2"/>
  <c r="BX87" i="2"/>
  <c r="BX83" i="2"/>
  <c r="BX84" i="2"/>
  <c r="BX88" i="2"/>
  <c r="CA75" i="2"/>
  <c r="BY75" i="2"/>
  <c r="BZ75" i="2"/>
  <c r="CA69" i="2"/>
  <c r="BY69" i="2"/>
  <c r="BZ69" i="2"/>
  <c r="CA73" i="2"/>
  <c r="BY73" i="2"/>
  <c r="BZ73" i="2"/>
  <c r="CA71" i="2"/>
  <c r="BY71" i="2"/>
  <c r="BZ71" i="2"/>
  <c r="CA72" i="2"/>
  <c r="BY72" i="2"/>
  <c r="BZ72" i="2"/>
  <c r="CA70" i="2"/>
  <c r="BY70" i="2"/>
  <c r="BZ70" i="2"/>
  <c r="CA76" i="2"/>
  <c r="BY76" i="2"/>
  <c r="BZ76" i="2"/>
  <c r="CA74" i="2"/>
  <c r="BY74" i="2"/>
  <c r="BZ74" i="2"/>
  <c r="BZ83" i="2" l="1"/>
  <c r="BY83" i="2"/>
  <c r="CA83" i="2"/>
  <c r="CA88" i="2"/>
  <c r="BZ88" i="2"/>
  <c r="BY88" i="2"/>
  <c r="BY87" i="2"/>
  <c r="CA87" i="2"/>
  <c r="BZ87" i="2"/>
  <c r="BY85" i="2"/>
  <c r="CA85" i="2"/>
  <c r="BZ85" i="2"/>
  <c r="CA84" i="2"/>
  <c r="BZ84" i="2"/>
  <c r="BY84" i="2"/>
  <c r="BY81" i="2"/>
  <c r="CA81" i="2"/>
  <c r="BZ81" i="2"/>
  <c r="CA86" i="2"/>
  <c r="BZ86" i="2"/>
  <c r="BY86" i="2"/>
  <c r="BZ82" i="2"/>
  <c r="CA82" i="2"/>
  <c r="BY82" i="2"/>
  <c r="CB74" i="2"/>
  <c r="CB69" i="2"/>
  <c r="CB75" i="2"/>
  <c r="CB72" i="2"/>
  <c r="CB71" i="2"/>
  <c r="CB76" i="2"/>
  <c r="CB73" i="2"/>
  <c r="CB70" i="2"/>
  <c r="CB86" i="2" l="1"/>
  <c r="CB81" i="2"/>
  <c r="CB84" i="2"/>
  <c r="CB87" i="2"/>
  <c r="CB83" i="2"/>
  <c r="CB88" i="2"/>
  <c r="CB82" i="2"/>
  <c r="CB85" i="2"/>
  <c r="CE73" i="2"/>
  <c r="CD73" i="2"/>
  <c r="CC73" i="2"/>
  <c r="CE72" i="2"/>
  <c r="CC72" i="2"/>
  <c r="CD72" i="2"/>
  <c r="CE76" i="2"/>
  <c r="CC76" i="2"/>
  <c r="CD76" i="2"/>
  <c r="CE69" i="2"/>
  <c r="CD69" i="2"/>
  <c r="CC69" i="2"/>
  <c r="CE70" i="2"/>
  <c r="CD70" i="2"/>
  <c r="CC70" i="2"/>
  <c r="CE71" i="2"/>
  <c r="CD71" i="2"/>
  <c r="CC71" i="2"/>
  <c r="CE75" i="2"/>
  <c r="CC75" i="2"/>
  <c r="CD75" i="2"/>
  <c r="CE74" i="2"/>
  <c r="CC74" i="2"/>
  <c r="CD74" i="2"/>
  <c r="CC85" i="2" l="1"/>
  <c r="CE85" i="2"/>
  <c r="CD85" i="2"/>
  <c r="CD82" i="2"/>
  <c r="CC82" i="2"/>
  <c r="CE82" i="2"/>
  <c r="CE88" i="2"/>
  <c r="CC88" i="2"/>
  <c r="CD88" i="2"/>
  <c r="CC84" i="2"/>
  <c r="CE84" i="2"/>
  <c r="CD84" i="2"/>
  <c r="CE81" i="2"/>
  <c r="CC81" i="2"/>
  <c r="CD81" i="2"/>
  <c r="CE83" i="2"/>
  <c r="CC83" i="2"/>
  <c r="CD83" i="2"/>
  <c r="CD87" i="2"/>
  <c r="CC87" i="2"/>
  <c r="CE87" i="2"/>
  <c r="CE86" i="2"/>
  <c r="CD86" i="2"/>
  <c r="CC86" i="2"/>
  <c r="CF70" i="2"/>
  <c r="CF76" i="2"/>
  <c r="CF74" i="2"/>
  <c r="CF72" i="2"/>
  <c r="CF73" i="2"/>
  <c r="CF71" i="2"/>
  <c r="CF75" i="2"/>
  <c r="CF69" i="2"/>
  <c r="CF88" i="2" l="1"/>
  <c r="CF82" i="2"/>
  <c r="CF86" i="2"/>
  <c r="CF84" i="2"/>
  <c r="CF87" i="2"/>
  <c r="CF81" i="2"/>
  <c r="CF83" i="2"/>
  <c r="CF85" i="2"/>
  <c r="CI75" i="2"/>
  <c r="CH75" i="2"/>
  <c r="CG75" i="2"/>
  <c r="CH72" i="2"/>
  <c r="CG72" i="2"/>
  <c r="CI72" i="2"/>
  <c r="CI71" i="2"/>
  <c r="CG71" i="2"/>
  <c r="CH71" i="2"/>
  <c r="CI76" i="2"/>
  <c r="CH76" i="2"/>
  <c r="CG76" i="2"/>
  <c r="CI69" i="2"/>
  <c r="CG69" i="2"/>
  <c r="CH69" i="2"/>
  <c r="CI73" i="2"/>
  <c r="CH73" i="2"/>
  <c r="CG73" i="2"/>
  <c r="CH74" i="2"/>
  <c r="CI74" i="2"/>
  <c r="CG74" i="2"/>
  <c r="CI70" i="2"/>
  <c r="CH70" i="2"/>
  <c r="CG70" i="2"/>
  <c r="CI81" i="2" l="1"/>
  <c r="CH81" i="2"/>
  <c r="CG81" i="2"/>
  <c r="CI86" i="2"/>
  <c r="CH86" i="2"/>
  <c r="CG86" i="2"/>
  <c r="CG85" i="2"/>
  <c r="CI85" i="2"/>
  <c r="CH85" i="2"/>
  <c r="CI87" i="2"/>
  <c r="CG87" i="2"/>
  <c r="CH87" i="2"/>
  <c r="CI82" i="2"/>
  <c r="CH82" i="2"/>
  <c r="CG82" i="2"/>
  <c r="CI83" i="2"/>
  <c r="CH83" i="2"/>
  <c r="CG83" i="2"/>
  <c r="CG84" i="2"/>
  <c r="CI84" i="2"/>
  <c r="CH84" i="2"/>
  <c r="CI88" i="2"/>
  <c r="CH88" i="2"/>
  <c r="CG88" i="2"/>
  <c r="CJ75" i="2"/>
  <c r="CJ70" i="2"/>
  <c r="CJ74" i="2"/>
  <c r="CJ71" i="2"/>
  <c r="CJ72" i="2"/>
  <c r="CJ73" i="2"/>
  <c r="CJ76" i="2"/>
  <c r="CJ69" i="2"/>
  <c r="CJ81" i="2" l="1"/>
  <c r="CJ88" i="2"/>
  <c r="CJ87" i="2"/>
  <c r="CJ82" i="2"/>
  <c r="CJ85" i="2"/>
  <c r="CJ84" i="2"/>
  <c r="CJ86" i="2"/>
  <c r="CJ83" i="2"/>
  <c r="CM76" i="2"/>
  <c r="CK76" i="2"/>
  <c r="CL76" i="2"/>
  <c r="CK71" i="2"/>
  <c r="CM71" i="2"/>
  <c r="CL71" i="2"/>
  <c r="CK73" i="2"/>
  <c r="CM73" i="2"/>
  <c r="CL73" i="2"/>
  <c r="CM70" i="2"/>
  <c r="CK70" i="2"/>
  <c r="CL70" i="2"/>
  <c r="CL69" i="2"/>
  <c r="CM69" i="2"/>
  <c r="CK69" i="2"/>
  <c r="CM72" i="2"/>
  <c r="CK72" i="2"/>
  <c r="CL72" i="2"/>
  <c r="CM74" i="2"/>
  <c r="CK74" i="2"/>
  <c r="CL74" i="2"/>
  <c r="CM75" i="2"/>
  <c r="CK75" i="2"/>
  <c r="CL75" i="2"/>
  <c r="CM83" i="2" l="1"/>
  <c r="CL83" i="2"/>
  <c r="CK83" i="2"/>
  <c r="CK85" i="2"/>
  <c r="CL85" i="2"/>
  <c r="CM85" i="2"/>
  <c r="CM87" i="2"/>
  <c r="CL87" i="2"/>
  <c r="CK87" i="2"/>
  <c r="CM88" i="2"/>
  <c r="CK88" i="2"/>
  <c r="CL88" i="2"/>
  <c r="CK86" i="2"/>
  <c r="CM86" i="2"/>
  <c r="CL86" i="2"/>
  <c r="CK84" i="2"/>
  <c r="CM84" i="2"/>
  <c r="CL84" i="2"/>
  <c r="CK82" i="2"/>
  <c r="CL82" i="2"/>
  <c r="CM82" i="2"/>
  <c r="CK81" i="2"/>
  <c r="CL81" i="2"/>
  <c r="CM81" i="2"/>
  <c r="CO69" i="2"/>
  <c r="CO87" i="2" l="1"/>
  <c r="CO86" i="2" s="1"/>
  <c r="CO85" i="2" s="1"/>
  <c r="CO84" i="2" s="1"/>
  <c r="CO83" i="2" s="1"/>
  <c r="CO82" i="2" s="1"/>
  <c r="CO81" i="2" s="1"/>
  <c r="CO79" i="2" s="1"/>
  <c r="CQ80" i="2" s="1" a="1"/>
  <c r="CQ80" i="2" s="1"/>
  <c r="CO70" i="2"/>
  <c r="CO71" i="2" s="1"/>
  <c r="CO72" i="2" s="1"/>
  <c r="CO73" i="2" s="1"/>
  <c r="CO74" i="2" s="1"/>
  <c r="CO75" i="2" s="1"/>
  <c r="CO67" i="2" l="1"/>
  <c r="CQ69" i="2" s="1" a="1"/>
  <c r="CQ6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<sst xmlns="http://schemas.openxmlformats.org/spreadsheetml/2006/main" count="934" uniqueCount="232">
  <si>
    <t>www.guiadecompra.com</t>
  </si>
  <si>
    <t>Primeira fase            GRUPO A</t>
  </si>
  <si>
    <t>x</t>
  </si>
  <si>
    <t>Classificação do grupo A</t>
  </si>
  <si>
    <t>PT</t>
  </si>
  <si>
    <t>J</t>
  </si>
  <si>
    <t>V</t>
  </si>
  <si>
    <t>E</t>
  </si>
  <si>
    <t>D</t>
  </si>
  <si>
    <t>GP</t>
  </si>
  <si>
    <t>GC</t>
  </si>
  <si>
    <t>SG</t>
  </si>
  <si>
    <t>Primeira fase          GRUPO B</t>
  </si>
  <si>
    <t>Classificação do grupo B</t>
  </si>
  <si>
    <t>Primeira fase          GRUPO C</t>
  </si>
  <si>
    <t>Classificação do grupo C</t>
  </si>
  <si>
    <t>Primeira fase          GRUPO D</t>
  </si>
  <si>
    <t>Classificação do grupo D</t>
  </si>
  <si>
    <t>Primeira fase          GRUPO E</t>
  </si>
  <si>
    <t>Classificação do grupo E</t>
  </si>
  <si>
    <t>Primeira fase          GRUPO F</t>
  </si>
  <si>
    <t>Classificação do grupo F</t>
  </si>
  <si>
    <t>Primeira fase          GRUPO G</t>
  </si>
  <si>
    <t>Classificação do grupo G</t>
  </si>
  <si>
    <t>Primeira fase          GRUPO H</t>
  </si>
  <si>
    <t>Oitavas de final</t>
  </si>
  <si>
    <t>Tempo normal</t>
  </si>
  <si>
    <t>Quartas de final</t>
  </si>
  <si>
    <t>Semifinal</t>
  </si>
  <si>
    <t>Decisão do terceiro lugar</t>
  </si>
  <si>
    <t>Grupo A</t>
  </si>
  <si>
    <t>Pontos ganhos</t>
  </si>
  <si>
    <t>Pontos Ganhos</t>
  </si>
  <si>
    <t>Saldo de gols</t>
  </si>
  <si>
    <t>Seleção</t>
  </si>
  <si>
    <t>pt</t>
  </si>
  <si>
    <t>Grupo B</t>
  </si>
  <si>
    <t>Grupo C</t>
  </si>
  <si>
    <t>Grupo D</t>
  </si>
  <si>
    <t>Grupo E</t>
  </si>
  <si>
    <t>Grupo F</t>
  </si>
  <si>
    <t>Grupo G</t>
  </si>
  <si>
    <t>Grupo H</t>
  </si>
  <si>
    <t>Classificação do grupo H</t>
  </si>
  <si>
    <t>Desenvolvida Por</t>
  </si>
  <si>
    <t>www.guiadcompra.com</t>
  </si>
  <si>
    <t>Proíbida a venda desta planilha, por terceiro</t>
  </si>
  <si>
    <t>guiadecompra@guiadecompra.com</t>
  </si>
  <si>
    <t>Desenvolvida por:</t>
  </si>
  <si>
    <t>Compartilhe</t>
  </si>
  <si>
    <t>Facebook</t>
  </si>
  <si>
    <t>Desenvolvida Por:</t>
  </si>
  <si>
    <t>Preencher os nomes das seleções em cada grupo, de acordo com o sorteio da FIFA</t>
  </si>
  <si>
    <t>Peencher Tabela</t>
  </si>
  <si>
    <t>Copie o link da tabela e coloque no seu site, ou blog</t>
  </si>
  <si>
    <t>Ir Para a Tabela</t>
  </si>
  <si>
    <t>VOCÊ ANUNCIA, ALGUÉM COMPRA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</si>
  <si>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</si>
  <si>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</si>
  <si>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</si>
  <si>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</si>
  <si>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</si>
  <si>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</si>
  <si>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</si>
  <si>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</si>
  <si>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https://www.guiadecompra.com/copa-do-mundo/</t>
  </si>
  <si>
    <t>horários do jogos: BRASÍLIA</t>
  </si>
  <si>
    <t>Caso você tenha comprado de outras mídias, ou de terceiros, esta, ou outras planilhas desenvolvida pelo Guia de Compra, denuncie.</t>
  </si>
  <si>
    <t>Mais Planilhas</t>
  </si>
  <si>
    <t>Tabela da Copa FIFA 2022</t>
  </si>
  <si>
    <t>Qatar 2022</t>
  </si>
  <si>
    <t>Qatar</t>
  </si>
  <si>
    <t>Inglaterra</t>
  </si>
  <si>
    <t>Argentina</t>
  </si>
  <si>
    <t>França</t>
  </si>
  <si>
    <t>Espanha</t>
  </si>
  <si>
    <t>Bélgica</t>
  </si>
  <si>
    <t>Brasil</t>
  </si>
  <si>
    <t>Portugal</t>
  </si>
  <si>
    <t>Equador</t>
  </si>
  <si>
    <t>Arábia Saudita</t>
  </si>
  <si>
    <t>Canadá</t>
  </si>
  <si>
    <t>Sérvia</t>
  </si>
  <si>
    <t>Gana</t>
  </si>
  <si>
    <t>Estados Unidos</t>
  </si>
  <si>
    <t>México</t>
  </si>
  <si>
    <t>Dinamarca</t>
  </si>
  <si>
    <t>Alemanha</t>
  </si>
  <si>
    <t>Marrocos</t>
  </si>
  <si>
    <t>Suiça</t>
  </si>
  <si>
    <t>Uruguai</t>
  </si>
  <si>
    <t>Holanda</t>
  </si>
  <si>
    <t>Polônia</t>
  </si>
  <si>
    <t>Tunísia</t>
  </si>
  <si>
    <t>Japão</t>
  </si>
  <si>
    <t>Croácia</t>
  </si>
  <si>
    <t>Camarões</t>
  </si>
  <si>
    <t>Coreia do Sul</t>
  </si>
  <si>
    <t>Veja Outras Planilhas de Excel em TudoExcel</t>
  </si>
  <si>
    <t>Planilha para Custo de Construção e Reformas</t>
  </si>
  <si>
    <t>Planilha de Gerenciamento de Vendas</t>
  </si>
  <si>
    <t>Planilha para Controle de Estoque</t>
  </si>
  <si>
    <r>
      <t xml:space="preserve">Planilha de Custo de Obras 2.0 </t>
    </r>
    <r>
      <rPr>
        <u/>
        <sz val="10"/>
        <color indexed="53"/>
        <rFont val="Arial"/>
        <family val="2"/>
      </rPr>
      <t>(custos de projeto, materiais e mão-de-obra)</t>
    </r>
  </si>
  <si>
    <r>
      <t xml:space="preserve">Planilha de Cotação de Preços </t>
    </r>
    <r>
      <rPr>
        <u/>
        <sz val="10"/>
        <color indexed="53"/>
        <rFont val="Arial"/>
        <family val="2"/>
      </rPr>
      <t>(5 fornecedores)</t>
    </r>
  </si>
  <si>
    <t>Planilha de Fluxo de Caixa</t>
  </si>
  <si>
    <r>
      <t xml:space="preserve">Planilha Controle de Débitos de Clientes </t>
    </r>
    <r>
      <rPr>
        <u/>
        <sz val="10"/>
        <color indexed="53"/>
        <rFont val="Arial"/>
        <family val="2"/>
      </rPr>
      <t>(contas a receber)</t>
    </r>
  </si>
  <si>
    <r>
      <t>Planilha de Cotação</t>
    </r>
    <r>
      <rPr>
        <u/>
        <sz val="10"/>
        <color indexed="53"/>
        <rFont val="Arial"/>
        <family val="2"/>
      </rPr>
      <t xml:space="preserve"> (20 fornecedores e 500 itens)</t>
    </r>
  </si>
  <si>
    <t>Planilha de Estoque e Vendas - Controle Total</t>
  </si>
  <si>
    <t>Pacote de Planilhas com 18 Planilhas de Excel</t>
  </si>
  <si>
    <t>Lista de planilhas completa</t>
  </si>
  <si>
    <t>Lista completa de planilhas prontas</t>
  </si>
  <si>
    <t>AL THUMAMA</t>
  </si>
  <si>
    <t>AL KHOR</t>
  </si>
  <si>
    <t>INTER. KHALIFA</t>
  </si>
  <si>
    <t>AL RAYYAN</t>
  </si>
  <si>
    <t>CID. EDUCAÇÃO</t>
  </si>
  <si>
    <t>AL WAKRAH</t>
  </si>
  <si>
    <t>NAC. DE LUSAIL</t>
  </si>
  <si>
    <t>PORTO DE DOHA</t>
  </si>
  <si>
    <t>INTE. KHALIFA</t>
  </si>
  <si>
    <t>NAC. LUSAIL</t>
  </si>
  <si>
    <t xml:space="preserve">INTER. KHALIFA </t>
  </si>
  <si>
    <t xml:space="preserve">NAC. LUSAIL </t>
  </si>
  <si>
    <t>Esta tabela pode sofrer alterações se a FIFA mudar jogos. Ainda não é uma tabela oficial e foi baseada nos sites da internet</t>
  </si>
  <si>
    <t>Lembramos que a FIFA ainda não divulgou a tabela oficial no seu site. Qualquer dirvegência pedimos desculpas. Baixe novamente...</t>
  </si>
  <si>
    <t>Decisão Final</t>
  </si>
  <si>
    <t>Senegal</t>
  </si>
  <si>
    <t>País de Gales</t>
  </si>
  <si>
    <t>Austrália</t>
  </si>
  <si>
    <t>Costa Rica</t>
  </si>
  <si>
    <t>BOLÃO DA COPA 2022  – REGULAMENTO</t>
  </si>
  <si>
    <t>A classificação dos participantes do BOLÃO DA COPA 2022 será definida através da soma total de pontos.</t>
  </si>
  <si>
    <t>Os pontos são obtidos de acordo com as situações descritas abaixo:</t>
  </si>
  <si>
    <r>
      <rPr>
        <sz val="10"/>
        <color theme="1"/>
        <rFont val="Times New Roman"/>
        <family val="1"/>
      </rPr>
      <t>1.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Resultado com escore certo (placar e vencedor)</t>
    </r>
  </si>
  <si>
    <t>13 pts</t>
  </si>
  <si>
    <r>
      <rPr>
        <sz val="10"/>
        <color theme="1"/>
        <rFont val="Times New Roman"/>
        <family val="1"/>
      </rPr>
      <t>2.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Resultado certo sem escore (vencedor ou empate correto)</t>
    </r>
  </si>
  <si>
    <t>06 pts</t>
  </si>
  <si>
    <r>
      <rPr>
        <sz val="10"/>
        <color theme="1"/>
        <rFont val="Times New Roman"/>
        <family val="1"/>
      </rPr>
      <t>3.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Escore certo de apenas um dos times (esse item só terá validade se o participante não pontuar no item 1)</t>
    </r>
  </si>
  <si>
    <t>02 pts</t>
  </si>
  <si>
    <t>4.     Autor do 1º gol do Brasil contra a Sérvia</t>
  </si>
  <si>
    <t>07 pts</t>
  </si>
  <si>
    <t>5.     Autor do 1º gol do Brasil contra a Suíça</t>
  </si>
  <si>
    <t>6.     Autor do 1º gol do Brasil contra Camarões</t>
  </si>
  <si>
    <r>
      <rPr>
        <sz val="10"/>
        <color theme="1"/>
        <rFont val="Times New Roman"/>
        <family val="1"/>
      </rPr>
      <t>7.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Colocação de cada equipe em seu grupo na 1ª fase</t>
    </r>
  </si>
  <si>
    <t>10 pts</t>
  </si>
  <si>
    <r>
      <rPr>
        <sz val="10"/>
        <color theme="1"/>
        <rFont val="Times New Roman"/>
        <family val="1"/>
      </rPr>
      <t>8.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Equipe classificada para as Quartas-de-final (cada)</t>
    </r>
  </si>
  <si>
    <t>15 pts</t>
  </si>
  <si>
    <r>
      <rPr>
        <sz val="10"/>
        <color theme="1"/>
        <rFont val="Times New Roman"/>
        <family val="1"/>
      </rPr>
      <t>9.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Equipe classificada para as semifinais (cada)</t>
    </r>
  </si>
  <si>
    <t>20 pts</t>
  </si>
  <si>
    <r>
      <rPr>
        <sz val="10"/>
        <color theme="1"/>
        <rFont val="Times New Roman"/>
        <family val="1"/>
      </rPr>
      <t>10.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Equipe 4ª colocada</t>
    </r>
  </si>
  <si>
    <r>
      <rPr>
        <sz val="10"/>
        <color theme="1"/>
        <rFont val="Times New Roman"/>
        <family val="1"/>
      </rPr>
      <t>11.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Equipe 3ª colocada</t>
    </r>
  </si>
  <si>
    <t>25 pts</t>
  </si>
  <si>
    <r>
      <rPr>
        <sz val="10"/>
        <color theme="1"/>
        <rFont val="Times New Roman"/>
        <family val="1"/>
      </rPr>
      <t>12.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Equipe vice-campeã</t>
    </r>
  </si>
  <si>
    <t>30 pts</t>
  </si>
  <si>
    <r>
      <rPr>
        <sz val="10"/>
        <color theme="1"/>
        <rFont val="Times New Roman"/>
        <family val="1"/>
      </rPr>
      <t>13.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Equipe campeã</t>
    </r>
  </si>
  <si>
    <t>40 pts</t>
  </si>
  <si>
    <r>
      <rPr>
        <sz val="10"/>
        <color theme="1"/>
        <rFont val="Times New Roman"/>
        <family val="1"/>
      </rPr>
      <t>14.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Nome do jogador que fará o 1º gol na final</t>
    </r>
  </si>
  <si>
    <r>
      <rPr>
        <sz val="10"/>
        <color theme="1"/>
        <rFont val="Times New Roman"/>
        <family val="1"/>
      </rPr>
      <t>15.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Equipe de melhor campanha na 1ª fase</t>
    </r>
  </si>
  <si>
    <r>
      <rPr>
        <sz val="10"/>
        <color theme="1"/>
        <rFont val="Times New Roman"/>
        <family val="1"/>
      </rPr>
      <t>16.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Equipe de pior campanha na 1ª fase</t>
    </r>
  </si>
  <si>
    <r>
      <rPr>
        <sz val="10"/>
        <color theme="1"/>
        <rFont val="Times New Roman"/>
        <family val="1"/>
      </rPr>
      <t>17.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Equipe de melhor ataque na 1ª fase</t>
    </r>
  </si>
  <si>
    <r>
      <rPr>
        <sz val="10"/>
        <color theme="1"/>
        <rFont val="Times New Roman"/>
        <family val="1"/>
      </rPr>
      <t>18.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Equipe de pior ataque na 1ª fase</t>
    </r>
  </si>
  <si>
    <r>
      <rPr>
        <sz val="10"/>
        <color theme="1"/>
        <rFont val="Times New Roman"/>
        <family val="1"/>
      </rPr>
      <t>19.</t>
    </r>
    <r>
      <rPr>
        <sz val="7"/>
        <color theme="1"/>
        <rFont val="Times New Roman"/>
        <family val="1"/>
      </rPr>
      <t xml:space="preserve">    </t>
    </r>
    <r>
      <rPr>
        <sz val="10"/>
        <color theme="1"/>
        <rFont val="Times New Roman"/>
        <family val="1"/>
      </rPr>
      <t>Artilheiro da Copa</t>
    </r>
  </si>
  <si>
    <t>Valor da aposta:R$50,00</t>
  </si>
  <si>
    <t>Distribuição da premiação</t>
  </si>
  <si>
    <t>1º colocado – 70 % do valor arrecadado</t>
  </si>
  <si>
    <t>2º colocado – 20 % do valor arrecadado</t>
  </si>
  <si>
    <t>3º colocado – 10 % do valor arrecadado</t>
  </si>
  <si>
    <t xml:space="preserve">Obs.: </t>
  </si>
  <si>
    <r>
      <rPr>
        <sz val="10"/>
        <color theme="1"/>
        <rFont val="Times New Roman"/>
        <family val="1"/>
      </rPr>
      <t>1)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 xml:space="preserve">Em caso de empate entre os participantes, a premiação prevista para </t>
    </r>
    <r>
      <rPr>
        <u/>
        <sz val="10"/>
        <color theme="1"/>
        <rFont val="Times New Roman"/>
        <family val="1"/>
      </rPr>
      <t>as colocações de todos os empatados</t>
    </r>
    <r>
      <rPr>
        <sz val="10"/>
        <color theme="1"/>
        <rFont val="Times New Roman"/>
        <family val="1"/>
      </rPr>
      <t xml:space="preserve"> será dividida igualmente. As possibilidades estão descritas abaixo:</t>
    </r>
  </si>
  <si>
    <r>
      <rPr>
        <sz val="10"/>
        <color theme="1"/>
        <rFont val="Times New Roman"/>
        <family val="1"/>
      </rPr>
      <t>a)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2 empatados em 1º lugar – dividem igualmente as premiações de 1º e 2º.</t>
    </r>
  </si>
  <si>
    <r>
      <rPr>
        <sz val="10"/>
        <color theme="1"/>
        <rFont val="Times New Roman"/>
        <family val="1"/>
      </rPr>
      <t>b)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3 ou mais empatados em 1º lugar - dividem igualmente as premiações de 1º, 2º e 3º.</t>
    </r>
  </si>
  <si>
    <r>
      <rPr>
        <sz val="10"/>
        <color theme="1"/>
        <rFont val="Times New Roman"/>
        <family val="1"/>
      </rPr>
      <t>c)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2 ou mais empatados em 2º lugar – dividem igualmente as premiações de 2º e 3º.</t>
    </r>
  </si>
  <si>
    <r>
      <rPr>
        <sz val="10"/>
        <color theme="1"/>
        <rFont val="Times New Roman"/>
        <family val="1"/>
      </rPr>
      <t>d)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2 ou mais empatados em 3º lugar – dividem igualmente a premiação de 3º.</t>
    </r>
  </si>
  <si>
    <r>
      <rPr>
        <sz val="10"/>
        <color theme="1"/>
        <rFont val="Times New Roman"/>
        <family val="1"/>
      </rPr>
      <t>4)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Critérios de desempate para os itens 15 e 16 (se o empate permanecer, todas as equipes empatadas serão consideradas):</t>
    </r>
  </si>
  <si>
    <r>
      <rPr>
        <sz val="10"/>
        <color theme="1"/>
        <rFont val="Times New Roman"/>
        <family val="1"/>
      </rPr>
      <t>a)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Saldo de gols</t>
    </r>
  </si>
  <si>
    <r>
      <rPr>
        <sz val="10"/>
        <color theme="1"/>
        <rFont val="Times New Roman"/>
        <family val="1"/>
      </rPr>
      <t>b)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Gols pró</t>
    </r>
  </si>
  <si>
    <r>
      <rPr>
        <sz val="10"/>
        <color theme="1"/>
        <rFont val="Times New Roman"/>
        <family val="1"/>
      </rPr>
      <t>5)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Em caso de empate nos itens 17 e 18, valem todas as equipes empatadas.</t>
    </r>
  </si>
  <si>
    <r>
      <rPr>
        <sz val="10"/>
        <color theme="1"/>
        <rFont val="Times New Roman"/>
        <family val="1"/>
      </rPr>
      <t>6)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>Em caso de empate no item 19, valem todos os jogadores empatados.</t>
    </r>
  </si>
  <si>
    <t>8)     Todos os palpites serão divulgados no site https://alannacopa.wixsite.com/alan-mobile no dia 21/11/2022, antes da abertura da Copa do Mundo, para que todos possam "secar" os concorrentes.</t>
  </si>
  <si>
    <t>Em caso de dúvida, contatar via :</t>
  </si>
  <si>
    <t>Alan – (71) 98888-1613 ou alan_salles@yahoo.com.br</t>
  </si>
  <si>
    <t xml:space="preserve">Site: </t>
  </si>
  <si>
    <t>https://alannacopa.wixsite.com/alan-mobile</t>
  </si>
  <si>
    <t>pontuação</t>
  </si>
  <si>
    <t>Autor do 1º gol do Brasil contra a Sérvia</t>
  </si>
  <si>
    <t>Autor do 1º gol do Brasil contra a Suíça</t>
  </si>
  <si>
    <t>Autor do 1º gol do Brasil contra Camarões</t>
  </si>
  <si>
    <t>Jogador a fazer o 1º gol da final</t>
  </si>
  <si>
    <t>Artilheiro da Copa</t>
  </si>
  <si>
    <t>Equipe de melhor campanha na 1ª fase</t>
  </si>
  <si>
    <t>Equipe de pior campanha na 1ª fase</t>
  </si>
  <si>
    <t>Equipe de melhor ataque na 1ª fase</t>
  </si>
  <si>
    <t>Equipe de pior ataque na 1ª fase</t>
  </si>
  <si>
    <t>Nome do Participante</t>
  </si>
  <si>
    <t>Telefone</t>
  </si>
  <si>
    <t xml:space="preserve">e-mail </t>
  </si>
  <si>
    <t>Grupo AxB</t>
  </si>
  <si>
    <t>Grupo CxD</t>
  </si>
  <si>
    <t>Grupo ExF</t>
  </si>
  <si>
    <t>Grupo GxH</t>
  </si>
  <si>
    <t>Grupo AxBxCxD</t>
  </si>
  <si>
    <t>Grupo ExFxGxH</t>
  </si>
  <si>
    <t>Todos</t>
  </si>
  <si>
    <t>Irã</t>
  </si>
  <si>
    <t>Teste</t>
  </si>
  <si>
    <t>Geral - Melhor campanha</t>
  </si>
  <si>
    <t>Geral - Pior campanha</t>
  </si>
  <si>
    <t>Melhor ataque</t>
  </si>
  <si>
    <t>Pior ataque</t>
  </si>
  <si>
    <r>
      <rPr>
        <sz val="10"/>
        <color theme="1"/>
        <rFont val="Arial"/>
        <family val="2"/>
      </rPr>
      <t>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 lugar</t>
    </r>
  </si>
  <si>
    <r>
      <rPr>
        <sz val="10"/>
        <color theme="1"/>
        <rFont val="Arial"/>
        <family val="2"/>
      </rPr>
      <t>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 lugar</t>
    </r>
  </si>
  <si>
    <r>
      <rPr>
        <sz val="10"/>
        <color theme="1"/>
        <rFont val="Arial"/>
        <family val="2"/>
      </rPr>
      <t>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 lugar</t>
    </r>
  </si>
  <si>
    <r>
      <rPr>
        <sz val="10"/>
        <color theme="1"/>
        <rFont val="Arial"/>
        <family val="2"/>
      </rPr>
      <t>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 lugar</t>
    </r>
  </si>
  <si>
    <r>
      <t xml:space="preserve">Para concorrer, é necessário preencher toda a tabela até o resultado da final e os 9 Palpites Extras. Depois deverá realizar o pix no valor da aposta para o e-mail </t>
    </r>
    <r>
      <rPr>
        <sz val="10"/>
        <color rgb="FF0070C0"/>
        <rFont val="Times New Roman"/>
        <family val="1"/>
      </rPr>
      <t>alan_salles@yahoo.com.br</t>
    </r>
  </si>
  <si>
    <r>
      <t>7)</t>
    </r>
    <r>
      <rPr>
        <sz val="7"/>
        <color theme="1"/>
        <rFont val="Times New Roman"/>
        <family val="1"/>
      </rPr>
      <t>       Os placares dos jogos a partir das oitavas-de-final não têm valor</t>
    </r>
    <r>
      <rPr>
        <sz val="10"/>
        <color theme="1"/>
        <rFont val="Times New Roman"/>
        <family val="1"/>
      </rPr>
      <t>. Servem apenas para indicar as seleções classificadas para as etapas seguintes.</t>
    </r>
  </si>
  <si>
    <t>Classificações nos grupos (preenchimento automático)</t>
  </si>
  <si>
    <r>
      <t xml:space="preserve">Seleções classificadas para as </t>
    </r>
    <r>
      <rPr>
        <b/>
        <sz val="10"/>
        <color rgb="FF000000"/>
        <rFont val="Calibri"/>
        <family val="2"/>
        <scheme val="minor"/>
      </rPr>
      <t>QUARTAS-DE-FINAL</t>
    </r>
    <r>
      <rPr>
        <sz val="10"/>
        <color rgb="FF000000"/>
        <rFont val="Calibri"/>
        <family val="2"/>
        <scheme val="minor"/>
      </rPr>
      <t xml:space="preserve"> (preenchimento automático)</t>
    </r>
  </si>
  <si>
    <r>
      <t xml:space="preserve">Seleções classificadas para as </t>
    </r>
    <r>
      <rPr>
        <b/>
        <sz val="10"/>
        <color rgb="FF000000"/>
        <rFont val="Calibri"/>
        <family val="2"/>
        <scheme val="minor"/>
      </rPr>
      <t>SEMIFINAIS</t>
    </r>
    <r>
      <rPr>
        <sz val="10"/>
        <color rgb="FF000000"/>
        <rFont val="Calibri"/>
        <family val="2"/>
        <scheme val="minor"/>
      </rPr>
      <t xml:space="preserve"> (preenchimento automático)</t>
    </r>
  </si>
  <si>
    <r>
      <t xml:space="preserve">Seleções classificadas nas </t>
    </r>
    <r>
      <rPr>
        <b/>
        <sz val="10"/>
        <color rgb="FF000000"/>
        <rFont val="Calibri"/>
        <family val="2"/>
        <scheme val="minor"/>
      </rPr>
      <t>4 PRIMEIRAS POSIÇÕES</t>
    </r>
    <r>
      <rPr>
        <sz val="10"/>
        <color rgb="FF000000"/>
        <rFont val="Calibri"/>
        <family val="2"/>
        <scheme val="minor"/>
      </rPr>
      <t xml:space="preserve"> (preenchimento automático)</t>
    </r>
  </si>
  <si>
    <t>CAMPEÃ</t>
  </si>
  <si>
    <t>VICE-CAMPEÃ</t>
  </si>
  <si>
    <t>3° LUGAR</t>
  </si>
  <si>
    <t>4° LUGAR</t>
  </si>
  <si>
    <r>
      <t>3)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 xml:space="preserve">Para o item 14 só será considerado o 1º gol caso seja um </t>
    </r>
    <r>
      <rPr>
        <u/>
        <sz val="10"/>
        <color theme="1"/>
        <rFont val="Times New Roman"/>
        <family val="1"/>
      </rPr>
      <t>gol a favor</t>
    </r>
    <r>
      <rPr>
        <sz val="10"/>
        <color theme="1"/>
        <rFont val="Times New Roman"/>
        <family val="1"/>
      </rPr>
      <t xml:space="preserve"> da equipe do jogador </t>
    </r>
    <r>
      <rPr>
        <u/>
        <sz val="10"/>
        <color theme="1"/>
        <rFont val="Times New Roman"/>
        <family val="1"/>
      </rPr>
      <t>feito no tempo normal ou na prorrogação</t>
    </r>
    <r>
      <rPr>
        <sz val="10"/>
        <color theme="1"/>
        <rFont val="Times New Roman"/>
        <family val="1"/>
      </rPr>
      <t xml:space="preserve">. Caso o 1º gol não seja considerado, passa a valer o seguinte, com os mesmos critérios. </t>
    </r>
    <r>
      <rPr>
        <sz val="10"/>
        <color rgb="FFFF0000"/>
        <rFont val="Times New Roman"/>
        <family val="1"/>
      </rPr>
      <t>Não é permitido deixar o campo em branco na intenção de apostar no 0x0</t>
    </r>
    <r>
      <rPr>
        <sz val="10"/>
        <color theme="1"/>
        <rFont val="Times New Roman"/>
        <family val="1"/>
      </rPr>
      <t>.</t>
    </r>
  </si>
  <si>
    <r>
      <t>2)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Times New Roman"/>
        <family val="1"/>
      </rPr>
      <t xml:space="preserve">Para os itens 4, 5 e 6 só será considerado o 1º gol caso seja um </t>
    </r>
    <r>
      <rPr>
        <u/>
        <sz val="10"/>
        <color theme="1"/>
        <rFont val="Times New Roman"/>
        <family val="1"/>
      </rPr>
      <t>gol a favor</t>
    </r>
    <r>
      <rPr>
        <sz val="10"/>
        <color theme="1"/>
        <rFont val="Times New Roman"/>
        <family val="1"/>
      </rPr>
      <t xml:space="preserve"> do Brasil </t>
    </r>
    <r>
      <rPr>
        <u/>
        <sz val="10"/>
        <color theme="1"/>
        <rFont val="Times New Roman"/>
        <family val="1"/>
      </rPr>
      <t>feito por um jogador do Brasil</t>
    </r>
    <r>
      <rPr>
        <sz val="10"/>
        <color theme="1"/>
        <rFont val="Times New Roman"/>
        <family val="1"/>
      </rPr>
      <t xml:space="preserve">. Caso o 1º gol não seja considerado, passa a valer o seguinte, com os mesmos critérios. </t>
    </r>
    <r>
      <rPr>
        <sz val="10"/>
        <color rgb="FFFF0000"/>
        <rFont val="Times New Roman"/>
        <family val="1"/>
      </rPr>
      <t>Não é permitido deixar o campo em branco na intenção do Brasil não fazer gol</t>
    </r>
    <r>
      <rPr>
        <sz val="10"/>
        <color theme="1"/>
        <rFont val="Times New Roman"/>
        <family val="1"/>
      </rPr>
      <t>.</t>
    </r>
  </si>
  <si>
    <r>
      <t>8)</t>
    </r>
    <r>
      <rPr>
        <sz val="7"/>
        <color theme="1"/>
        <rFont val="Times New Roman"/>
        <family val="1"/>
      </rPr>
      <t xml:space="preserve">       </t>
    </r>
    <r>
      <rPr>
        <sz val="10"/>
        <color rgb="FFFF0000"/>
        <rFont val="Times New Roman"/>
        <family val="1"/>
      </rPr>
      <t>Só serão aceitos os palpites preenchidos ELETRONICAMENTE NESSA PLANILHA. O prazo final de recebimento será às 23:59 BRT do dia 19/11/2022</t>
    </r>
    <r>
      <rPr>
        <sz val="10"/>
        <color theme="1"/>
        <rFont val="Times New Roman"/>
        <family val="1"/>
      </rPr>
      <t>.</t>
    </r>
  </si>
  <si>
    <t>Neymar</t>
  </si>
  <si>
    <t>Richarlison</t>
  </si>
  <si>
    <t>Cristiano Ronaldo</t>
  </si>
  <si>
    <t>Maria Carolina Fiuza</t>
  </si>
  <si>
    <t>71 993375403</t>
  </si>
  <si>
    <t>bruno1.hd@gmail.com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</si>
</sst>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AM/PM"/>
    <numFmt numFmtId="165" formatCode="h:mm"/>
    <numFmt numFmtId="166" formatCode="d\-mmm\-yy"/>
    <numFmt numFmtId="167" formatCode="h:mm;@"/>
  </numFmts>
  <fonts count="113"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color indexed="60"/>
      <name val="Arial"/>
      <family val="2"/>
    </font>
    <font>
      <b/>
      <sz val="10"/>
      <color indexed="60"/>
      <name val="Arial"/>
      <family val="2"/>
    </font>
    <font>
      <sz val="10"/>
      <color indexed="12"/>
      <name val="Arial"/>
      <family val="2"/>
    </font>
    <font>
      <sz val="8"/>
      <color indexed="57"/>
      <name val="Arial"/>
      <family val="2"/>
    </font>
    <font>
      <sz val="8"/>
      <name val="Verdana"/>
      <family val="2"/>
    </font>
    <font>
      <b/>
      <sz val="10"/>
      <color indexed="10"/>
      <name val="Arial"/>
      <family val="2"/>
    </font>
    <font>
      <sz val="10"/>
      <name val="Verdana"/>
      <family val="2"/>
    </font>
    <font>
      <b/>
      <u/>
      <sz val="10"/>
      <color indexed="12"/>
      <name val="Arial"/>
      <family val="2"/>
    </font>
    <font>
      <sz val="10"/>
      <color indexed="62"/>
      <name val="Arial"/>
      <family val="2"/>
    </font>
    <font>
      <sz val="8"/>
      <color indexed="22"/>
      <name val="Arial"/>
      <family val="2"/>
    </font>
    <font>
      <sz val="10"/>
      <color indexed="27"/>
      <name val="Arial"/>
      <family val="2"/>
    </font>
    <font>
      <sz val="9"/>
      <color indexed="27"/>
      <name val="Arial"/>
      <family val="2"/>
    </font>
    <font>
      <u/>
      <sz val="8"/>
      <color indexed="22"/>
      <name val="Arial"/>
      <family val="2"/>
    </font>
    <font>
      <b/>
      <sz val="8"/>
      <name val="Verdana"/>
      <family val="2"/>
    </font>
    <font>
      <b/>
      <sz val="8"/>
      <color indexed="22"/>
      <name val="Arial"/>
      <family val="2"/>
    </font>
    <font>
      <b/>
      <sz val="8"/>
      <color indexed="57"/>
      <name val="Arial"/>
      <family val="2"/>
    </font>
    <font>
      <sz val="10"/>
      <color indexed="55"/>
      <name val="Arial"/>
      <family val="2"/>
    </font>
    <font>
      <b/>
      <sz val="10"/>
      <color indexed="53"/>
      <name val="Arial"/>
      <family val="2"/>
    </font>
    <font>
      <b/>
      <sz val="10"/>
      <color indexed="8"/>
      <name val="Arial"/>
      <family val="2"/>
    </font>
    <font>
      <sz val="9"/>
      <color indexed="54"/>
      <name val="Arial"/>
      <family val="2"/>
    </font>
    <font>
      <b/>
      <sz val="10"/>
      <color indexed="56"/>
      <name val="Arial"/>
      <family val="2"/>
    </font>
    <font>
      <b/>
      <sz val="10"/>
      <color indexed="48"/>
      <name val="Arial"/>
      <family val="2"/>
    </font>
    <font>
      <sz val="9"/>
      <color indexed="57"/>
      <name val="Arial"/>
      <family val="2"/>
    </font>
    <font>
      <b/>
      <sz val="10"/>
      <color indexed="54"/>
      <name val="Arial"/>
      <family val="2"/>
    </font>
    <font>
      <b/>
      <sz val="10"/>
      <color indexed="44"/>
      <name val="Arial"/>
      <family val="2"/>
    </font>
    <font>
      <sz val="10"/>
      <color indexed="44"/>
      <name val="Arial"/>
      <family val="2"/>
    </font>
    <font>
      <sz val="9"/>
      <color indexed="63"/>
      <name val="Arial"/>
      <family val="2"/>
    </font>
    <font>
      <sz val="10"/>
      <color indexed="18"/>
      <name val="Arial"/>
      <family val="2"/>
    </font>
    <font>
      <b/>
      <sz val="10"/>
      <color indexed="62"/>
      <name val="Arial"/>
      <family val="2"/>
    </font>
    <font>
      <sz val="9"/>
      <color indexed="53"/>
      <name val="Arial"/>
      <family val="2"/>
    </font>
    <font>
      <sz val="10"/>
      <color indexed="2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b/>
      <sz val="10"/>
      <color indexed="27"/>
      <name val="Arial"/>
      <family val="2"/>
    </font>
    <font>
      <sz val="10"/>
      <color indexed="63"/>
      <name val="Arial"/>
      <family val="2"/>
    </font>
    <font>
      <b/>
      <u/>
      <sz val="12"/>
      <color indexed="12"/>
      <name val="Arial"/>
      <family val="2"/>
    </font>
    <font>
      <sz val="16"/>
      <name val="Arial"/>
      <family val="2"/>
    </font>
    <font>
      <u/>
      <sz val="16"/>
      <color indexed="12"/>
      <name val="Arial"/>
      <family val="2"/>
    </font>
    <font>
      <b/>
      <u/>
      <sz val="8"/>
      <color indexed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2"/>
      <color indexed="12"/>
      <name val="Arial"/>
      <family val="2"/>
    </font>
    <font>
      <sz val="11"/>
      <color indexed="12"/>
      <name val="Arial"/>
      <family val="2"/>
    </font>
    <font>
      <u/>
      <sz val="12"/>
      <color indexed="12"/>
      <name val="Arial"/>
      <family val="2"/>
    </font>
    <font>
      <u/>
      <sz val="10"/>
      <color indexed="53"/>
      <name val="Arial"/>
      <family val="2"/>
    </font>
    <font>
      <sz val="8"/>
      <color indexed="53"/>
      <name val="Arial"/>
      <family val="2"/>
    </font>
    <font>
      <b/>
      <sz val="10"/>
      <color theme="8" tint="-0.499984740745262"/>
      <name val="Arial"/>
      <family val="2"/>
    </font>
    <font>
      <sz val="10"/>
      <color theme="8" tint="-0.499984740745262"/>
      <name val="Arial"/>
      <family val="2"/>
    </font>
    <font>
      <sz val="9"/>
      <color theme="8" tint="-0.499984740745262"/>
      <name val="Arial"/>
      <family val="2"/>
    </font>
    <font>
      <b/>
      <sz val="10"/>
      <color theme="6" tint="-0.499984740745262"/>
      <name val="Arial"/>
      <family val="2"/>
    </font>
    <font>
      <b/>
      <sz val="3"/>
      <color theme="4" tint="0.79998168889431442"/>
      <name val="Arial"/>
      <family val="2"/>
    </font>
    <font>
      <sz val="8"/>
      <color theme="4" tint="0.79998168889431442"/>
      <name val="Arial"/>
      <family val="2"/>
    </font>
    <font>
      <sz val="5"/>
      <color theme="0"/>
      <name val="Arial"/>
      <family val="2"/>
    </font>
    <font>
      <b/>
      <sz val="10"/>
      <color theme="3" tint="-0.249977111117893"/>
      <name val="Arial"/>
      <family val="2"/>
    </font>
    <font>
      <b/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0"/>
      <name val="Arial"/>
      <family val="2"/>
    </font>
    <font>
      <sz val="8"/>
      <color rgb="FF0066FF"/>
      <name val="Arial"/>
      <family val="2"/>
    </font>
    <font>
      <b/>
      <sz val="10"/>
      <color theme="0"/>
      <name val="Arial"/>
      <family val="2"/>
    </font>
    <font>
      <b/>
      <sz val="10"/>
      <color rgb="FF339966"/>
      <name val="Arial"/>
      <family val="2"/>
    </font>
    <font>
      <sz val="10"/>
      <color theme="3" tint="0.39997558519241921"/>
      <name val="Arial"/>
      <family val="2"/>
    </font>
    <font>
      <b/>
      <sz val="12"/>
      <color theme="5" tint="0.39997558519241921"/>
      <name val="Arial"/>
      <family val="2"/>
    </font>
    <font>
      <sz val="11"/>
      <color rgb="FF0066FF"/>
      <name val="Arial"/>
      <family val="2"/>
    </font>
    <font>
      <sz val="11"/>
      <color rgb="FF000BE6"/>
      <name val="Calibri"/>
      <family val="2"/>
      <scheme val="minor"/>
    </font>
    <font>
      <b/>
      <sz val="11"/>
      <color theme="8" tint="-0.499984740745262"/>
      <name val="Arial"/>
      <family val="2"/>
    </font>
    <font>
      <sz val="11"/>
      <color theme="6" tint="-0.249977111117893"/>
      <name val="Arial"/>
      <family val="2"/>
    </font>
    <font>
      <b/>
      <sz val="11"/>
      <color rgb="FF7030A0"/>
      <name val="Calibri"/>
      <family val="2"/>
      <scheme val="minor"/>
    </font>
    <font>
      <sz val="8"/>
      <color theme="9" tint="-0.249977111117893"/>
      <name val="Arial"/>
      <family val="2"/>
    </font>
    <font>
      <sz val="8"/>
      <color theme="9" tint="-0.249977111117893"/>
      <name val="Opensans"/>
    </font>
    <font>
      <b/>
      <sz val="16"/>
      <color theme="6" tint="-0.499984740745262"/>
      <name val="Arial"/>
      <family val="2"/>
    </font>
    <font>
      <b/>
      <sz val="14"/>
      <color theme="7" tint="-0.249977111117893"/>
      <name val="Arial"/>
      <family val="2"/>
    </font>
    <font>
      <b/>
      <sz val="10"/>
      <color rgb="FF0033CC"/>
      <name val="Arial"/>
      <family val="2"/>
    </font>
    <font>
      <b/>
      <sz val="10"/>
      <color rgb="FF002060"/>
      <name val="Arial"/>
      <family val="2"/>
    </font>
    <font>
      <b/>
      <sz val="8"/>
      <color theme="6" tint="0.39997558519241921"/>
      <name val="Arial"/>
      <family val="2"/>
    </font>
    <font>
      <u/>
      <sz val="8"/>
      <color theme="0" tint="-4.9989318521683403E-2"/>
      <name val="Arial"/>
      <family val="2"/>
    </font>
    <font>
      <sz val="10"/>
      <color theme="5" tint="-0.249977111117893"/>
      <name val="Arial"/>
      <family val="2"/>
    </font>
    <font>
      <b/>
      <sz val="18"/>
      <color theme="3" tint="0.39997558519241921"/>
      <name val="Arial"/>
      <family val="2"/>
    </font>
    <font>
      <b/>
      <sz val="12"/>
      <color rgb="FF0066FF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b/>
      <i/>
      <sz val="12"/>
      <color theme="0"/>
      <name val="Calibri"/>
      <family val="2"/>
      <scheme val="minor"/>
    </font>
    <font>
      <sz val="16"/>
      <color rgb="FFFF0000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12"/>
      <color rgb="FF0000FF"/>
      <name val="Times New Roman"/>
      <family val="1"/>
    </font>
    <font>
      <u/>
      <sz val="10"/>
      <color theme="1"/>
      <name val="Times New Roman"/>
      <family val="1"/>
    </font>
    <font>
      <u/>
      <sz val="10"/>
      <color rgb="FF0000FF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color rgb="FFFF000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993300"/>
      <name val="Arial"/>
      <family val="2"/>
    </font>
    <font>
      <sz val="10"/>
      <color theme="0"/>
      <name val="Times New Roman"/>
      <family val="1"/>
    </font>
    <font>
      <u/>
      <sz val="10"/>
      <color theme="0"/>
      <name val="Arial"/>
      <family val="2"/>
    </font>
    <font>
      <sz val="10"/>
      <color rgb="FF0070C0"/>
      <name val="Times New Roman"/>
      <family val="1"/>
    </font>
    <font>
      <b/>
      <sz val="10"/>
      <color rgb="FF000000"/>
      <name val="Calibri"/>
      <family val="2"/>
      <scheme val="minor"/>
    </font>
    <font>
      <sz val="10"/>
      <color rgb="FFFF0000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6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26"/>
      </patternFill>
    </fill>
    <fill>
      <patternFill patternType="solid">
        <fgColor theme="6" tint="0.59999389629810485"/>
        <bgColor indexed="31"/>
      </patternFill>
    </fill>
    <fill>
      <patternFill patternType="solid">
        <fgColor theme="0"/>
        <bgColor indexed="26"/>
      </patternFill>
    </fill>
    <fill>
      <patternFill patternType="solid">
        <fgColor theme="6" tint="-0.249977111117893"/>
        <bgColor indexed="26"/>
      </patternFill>
    </fill>
    <fill>
      <patternFill patternType="solid">
        <fgColor rgb="FFCCFFFF"/>
        <bgColor rgb="FFCCFFFF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CC99"/>
        <bgColor rgb="FFFFCC99"/>
      </patternFill>
    </fill>
    <fill>
      <patternFill patternType="solid">
        <fgColor theme="0" tint="-0.249977111117893"/>
        <bgColor rgb="FFFFCC99"/>
      </patternFill>
    </fill>
    <fill>
      <patternFill patternType="solid">
        <fgColor theme="9" tint="0.59999389629810485"/>
        <bgColor rgb="FFFFCC99"/>
      </patternFill>
    </fill>
  </fills>
  <borders count="114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/>
      <right style="thin">
        <color theme="3" tint="0.59996337778862885"/>
      </right>
      <top/>
      <bottom/>
      <diagonal/>
    </border>
    <border>
      <left/>
      <right/>
      <top/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/>
      <right/>
      <top/>
      <bottom style="thick">
        <color theme="0"/>
      </bottom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6" tint="0.59996337778862885"/>
      </left>
      <right style="thin">
        <color theme="6" tint="0.59996337778862885"/>
      </right>
      <top/>
      <bottom style="thin">
        <color theme="6" tint="0.59996337778862885"/>
      </bottom>
      <diagonal/>
    </border>
    <border>
      <left/>
      <right/>
      <top/>
      <bottom style="thin">
        <color theme="6" tint="0.39994506668294322"/>
      </bottom>
      <diagonal/>
    </border>
    <border>
      <left style="thin">
        <color theme="6" tint="0.39991454817346722"/>
      </left>
      <right style="thin">
        <color theme="6" tint="0.59996337778862885"/>
      </right>
      <top style="thin">
        <color theme="6" tint="0.39994506668294322"/>
      </top>
      <bottom style="thin">
        <color theme="6" tint="0.59996337778862885"/>
      </bottom>
      <diagonal/>
    </border>
    <border>
      <left style="thin">
        <color theme="6" tint="0.39991454817346722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39991454817346722"/>
      </right>
      <top/>
      <bottom/>
      <diagonal/>
    </border>
    <border>
      <left/>
      <right/>
      <top/>
      <bottom style="thin">
        <color theme="6" tint="0.39991454817346722"/>
      </bottom>
      <diagonal/>
    </border>
    <border>
      <left/>
      <right style="thin">
        <color theme="6" tint="0.39991454817346722"/>
      </right>
      <top/>
      <bottom style="thin">
        <color theme="6" tint="0.39991454817346722"/>
      </bottom>
      <diagonal/>
    </border>
    <border>
      <left style="thin">
        <color theme="6" tint="0.59996337778862885"/>
      </left>
      <right/>
      <top style="thin">
        <color theme="6" tint="0.39994506668294322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thin">
        <color theme="8" tint="0.59996337778862885"/>
      </right>
      <top/>
      <bottom/>
      <diagonal/>
    </border>
    <border>
      <left/>
      <right style="thin">
        <color theme="8" tint="0.59996337778862885"/>
      </right>
      <top/>
      <bottom style="thin">
        <color theme="8" tint="0.59996337778862885"/>
      </bottom>
      <diagonal/>
    </border>
    <border>
      <left/>
      <right/>
      <top/>
      <bottom style="thin">
        <color theme="9" tint="0.59996337778862885"/>
      </bottom>
      <diagonal/>
    </border>
    <border>
      <left/>
      <right style="thin">
        <color theme="9" tint="0.59996337778862885"/>
      </right>
      <top/>
      <bottom/>
      <diagonal/>
    </border>
    <border>
      <left/>
      <right style="thin">
        <color theme="9" tint="0.59996337778862885"/>
      </right>
      <top/>
      <bottom style="thin">
        <color theme="9" tint="0.59996337778862885"/>
      </bottom>
      <diagonal/>
    </border>
    <border>
      <left/>
      <right style="thin">
        <color theme="6" tint="0.59996337778862885"/>
      </right>
      <top/>
      <bottom/>
      <diagonal/>
    </border>
    <border>
      <left/>
      <right/>
      <top/>
      <bottom style="thin">
        <color theme="6" tint="0.59996337778862885"/>
      </bottom>
      <diagonal/>
    </border>
    <border>
      <left/>
      <right style="thin">
        <color theme="6" tint="0.59996337778862885"/>
      </right>
      <top/>
      <bottom style="thin">
        <color theme="6" tint="0.59996337778862885"/>
      </bottom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39994506668294322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39994506668294322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 style="thin">
        <color theme="8" tint="0.59996337778862885"/>
      </bottom>
      <diagonal/>
    </border>
    <border>
      <left/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6" tint="0.59996337778862885"/>
      </left>
      <right/>
      <top/>
      <bottom/>
      <diagonal/>
    </border>
    <border>
      <left style="thin">
        <color theme="6" tint="0.59996337778862885"/>
      </left>
      <right/>
      <top/>
      <bottom style="thin">
        <color theme="6" tint="0.59996337778862885"/>
      </bottom>
      <diagonal/>
    </border>
    <border>
      <left style="thin">
        <color theme="3" tint="0.59996337778862885"/>
      </left>
      <right/>
      <top/>
      <bottom/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 style="thin">
        <color theme="6" tint="0.59996337778862885"/>
      </left>
      <right/>
      <top style="thin">
        <color theme="6" tint="0.39994506668294322"/>
      </top>
      <bottom/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/>
      <diagonal/>
    </border>
    <border>
      <left style="thin">
        <color theme="9" tint="0.59996337778862885"/>
      </left>
      <right/>
      <top/>
      <bottom/>
      <diagonal/>
    </border>
    <border>
      <left style="thin">
        <color theme="9" tint="0.59996337778862885"/>
      </left>
      <right/>
      <top/>
      <bottom style="thin">
        <color theme="9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medium">
        <color theme="9" tint="0.39994506668294322"/>
      </top>
      <bottom style="medium">
        <color theme="9" tint="0.39991454817346722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9" tint="0.39994506668294322"/>
      </bottom>
      <diagonal/>
    </border>
    <border>
      <left/>
      <right style="thin">
        <color theme="6" tint="0.39991454817346722"/>
      </right>
      <top/>
      <bottom style="thin">
        <color theme="6" tint="0.39994506668294322"/>
      </bottom>
      <diagonal/>
    </border>
    <border>
      <left/>
      <right/>
      <top style="thick">
        <color rgb="FFFFC000"/>
      </top>
      <bottom/>
      <diagonal/>
    </border>
    <border>
      <left/>
      <right/>
      <top/>
      <bottom style="thick">
        <color rgb="FFFFC000"/>
      </bottom>
      <diagonal/>
    </border>
    <border>
      <left/>
      <right/>
      <top style="thin">
        <color theme="3" tint="0.59996337778862885"/>
      </top>
      <bottom/>
      <diagonal/>
    </border>
    <border>
      <left/>
      <right style="thin">
        <color theme="3" tint="0.59996337778862885"/>
      </right>
      <top style="thin">
        <color theme="3" tint="0.59996337778862885"/>
      </top>
      <bottom/>
      <diagonal/>
    </border>
    <border>
      <left/>
      <right/>
      <top style="thin">
        <color theme="9" tint="0.59996337778862885"/>
      </top>
      <bottom/>
      <diagonal/>
    </border>
    <border>
      <left/>
      <right style="thin">
        <color theme="9" tint="0.59996337778862885"/>
      </right>
      <top style="thin">
        <color theme="9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thin">
        <color theme="8" tint="0.59996337778862885"/>
      </right>
      <top style="thin">
        <color theme="8" tint="0.59996337778862885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 style="thin">
        <color theme="6" tint="0.39991454817346722"/>
      </right>
      <top style="thin">
        <color theme="6" tint="0.39994506668294322"/>
      </top>
      <bottom/>
      <diagonal/>
    </border>
    <border>
      <left/>
      <right/>
      <top style="thin">
        <color theme="6" tint="0.59996337778862885"/>
      </top>
      <bottom/>
      <diagonal/>
    </border>
    <border>
      <left/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9" tint="0.39991454817346722"/>
      </left>
      <right/>
      <top style="medium">
        <color theme="9" tint="0.39994506668294322"/>
      </top>
      <bottom style="medium">
        <color theme="9" tint="0.39991454817346722"/>
      </bottom>
      <diagonal/>
    </border>
    <border>
      <left style="thin">
        <color theme="7" tint="0.39994506668294322"/>
      </left>
      <right/>
      <top style="thin">
        <color theme="7" tint="0.39994506668294322"/>
      </top>
      <bottom/>
      <diagonal/>
    </border>
    <border>
      <left/>
      <right style="thin">
        <color theme="7" tint="0.39994506668294322"/>
      </right>
      <top style="thin">
        <color theme="7" tint="0.39994506668294322"/>
      </top>
      <bottom/>
      <diagonal/>
    </border>
    <border>
      <left style="thin">
        <color theme="7" tint="0.39994506668294322"/>
      </left>
      <right/>
      <top/>
      <bottom/>
      <diagonal/>
    </border>
    <border>
      <left/>
      <right style="thin">
        <color theme="7" tint="0.39994506668294322"/>
      </right>
      <top/>
      <bottom/>
      <diagonal/>
    </border>
    <border>
      <left style="thin">
        <color theme="7" tint="0.39994506668294322"/>
      </left>
      <right/>
      <top/>
      <bottom style="thin">
        <color theme="7" tint="0.39994506668294322"/>
      </bottom>
      <diagonal/>
    </border>
    <border>
      <left/>
      <right style="thin">
        <color theme="7" tint="0.39994506668294322"/>
      </right>
      <top/>
      <bottom style="thin">
        <color theme="7" tint="0.3999450666829432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92" fillId="0" borderId="0"/>
  </cellStyleXfs>
  <cellXfs count="443">
    <xf numFmtId="0" fontId="0" fillId="0" borderId="0" xfId="0"/>
    <xf numFmtId="0" fontId="1" fillId="0" borderId="0" xfId="0" applyFont="1" applyFill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9" fillId="0" borderId="0" xfId="0" applyFont="1" applyFill="1" applyBorder="1" applyProtection="1">
      <protection hidden="1"/>
    </xf>
    <xf numFmtId="0" fontId="11" fillId="0" borderId="0" xfId="0" applyFont="1" applyFill="1" applyBorder="1" applyProtection="1">
      <protection hidden="1"/>
    </xf>
    <xf numFmtId="0" fontId="14" fillId="0" borderId="0" xfId="0" applyFont="1" applyFill="1" applyBorder="1" applyProtection="1">
      <protection hidden="1"/>
    </xf>
    <xf numFmtId="0" fontId="13" fillId="0" borderId="0" xfId="0" applyFont="1" applyFill="1" applyBorder="1" applyAlignment="1" applyProtection="1">
      <protection hidden="1"/>
    </xf>
    <xf numFmtId="0" fontId="13" fillId="0" borderId="0" xfId="0" applyFont="1" applyFill="1" applyBorder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4" fillId="0" borderId="0" xfId="0" applyFont="1" applyFill="1" applyProtection="1">
      <protection hidden="1"/>
    </xf>
    <xf numFmtId="0" fontId="2" fillId="0" borderId="0" xfId="0" applyFont="1" applyFill="1" applyProtection="1">
      <protection hidden="1"/>
    </xf>
    <xf numFmtId="0" fontId="19" fillId="0" borderId="0" xfId="0" applyFont="1" applyFill="1" applyBorder="1" applyAlignment="1" applyProtection="1">
      <alignment horizontal="center"/>
      <protection hidden="1"/>
    </xf>
    <xf numFmtId="0" fontId="19" fillId="0" borderId="0" xfId="0" applyFont="1" applyFill="1" applyBorder="1" applyProtection="1">
      <protection hidden="1"/>
    </xf>
    <xf numFmtId="0" fontId="26" fillId="0" borderId="1" xfId="0" applyFont="1" applyFill="1" applyBorder="1" applyAlignment="1" applyProtection="1">
      <alignment horizontal="center"/>
      <protection hidden="1"/>
    </xf>
    <xf numFmtId="0" fontId="28" fillId="0" borderId="0" xfId="0" applyFont="1" applyFill="1" applyBorder="1" applyProtection="1">
      <protection hidden="1"/>
    </xf>
    <xf numFmtId="0" fontId="29" fillId="0" borderId="0" xfId="0" applyFont="1" applyFill="1" applyBorder="1" applyAlignment="1" applyProtection="1">
      <alignment horizontal="center"/>
      <protection hidden="1"/>
    </xf>
    <xf numFmtId="0" fontId="30" fillId="0" borderId="0" xfId="0" applyFont="1" applyFill="1" applyBorder="1" applyAlignment="1" applyProtection="1">
      <alignment horizontal="center"/>
      <protection hidden="1"/>
    </xf>
    <xf numFmtId="166" fontId="0" fillId="0" borderId="0" xfId="0" applyNumberFormat="1" applyFont="1" applyFill="1" applyBorder="1" applyProtection="1">
      <protection hidden="1"/>
    </xf>
    <xf numFmtId="20" fontId="0" fillId="0" borderId="0" xfId="0" applyNumberFormat="1" applyFont="1" applyFill="1" applyBorder="1" applyProtection="1">
      <protection hidden="1"/>
    </xf>
    <xf numFmtId="0" fontId="0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Protection="1">
      <protection hidden="1"/>
    </xf>
    <xf numFmtId="0" fontId="23" fillId="0" borderId="0" xfId="0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4" fontId="31" fillId="0" borderId="0" xfId="0" applyNumberFormat="1" applyFont="1" applyFill="1" applyBorder="1" applyAlignment="1" applyProtection="1">
      <alignment horizontal="center"/>
      <protection locked="0" hidden="1"/>
    </xf>
    <xf numFmtId="0" fontId="32" fillId="0" borderId="0" xfId="0" applyFont="1" applyFill="1" applyBorder="1" applyAlignment="1" applyProtection="1">
      <alignment horizontal="right"/>
      <protection hidden="1"/>
    </xf>
    <xf numFmtId="0" fontId="10" fillId="0" borderId="0" xfId="0" applyFont="1" applyFill="1" applyBorder="1" applyAlignment="1" applyProtection="1">
      <alignment horizontal="center"/>
      <protection locked="0" hidden="1"/>
    </xf>
    <xf numFmtId="0" fontId="32" fillId="0" borderId="0" xfId="0" applyFont="1" applyFill="1" applyBorder="1" applyAlignment="1" applyProtection="1">
      <alignment horizontal="left"/>
      <protection hidden="1"/>
    </xf>
    <xf numFmtId="0" fontId="33" fillId="0" borderId="2" xfId="0" applyFont="1" applyFill="1" applyBorder="1" applyAlignment="1" applyProtection="1">
      <alignment horizontal="center"/>
      <protection locked="0" hidden="1"/>
    </xf>
    <xf numFmtId="0" fontId="33" fillId="0" borderId="3" xfId="0" applyFont="1" applyFill="1" applyBorder="1" applyAlignment="1" applyProtection="1">
      <alignment horizontal="center"/>
      <protection locked="0" hidden="1"/>
    </xf>
    <xf numFmtId="14" fontId="36" fillId="0" borderId="0" xfId="0" applyNumberFormat="1" applyFont="1" applyFill="1" applyBorder="1" applyAlignment="1" applyProtection="1">
      <alignment horizontal="center"/>
      <protection hidden="1"/>
    </xf>
    <xf numFmtId="20" fontId="36" fillId="0" borderId="0" xfId="0" applyNumberFormat="1" applyFont="1" applyFill="1" applyBorder="1" applyAlignment="1" applyProtection="1">
      <alignment horizontal="left"/>
      <protection hidden="1"/>
    </xf>
    <xf numFmtId="0" fontId="33" fillId="0" borderId="0" xfId="0" applyFont="1" applyFill="1" applyBorder="1" applyAlignment="1" applyProtection="1">
      <protection hidden="1"/>
    </xf>
    <xf numFmtId="0" fontId="33" fillId="0" borderId="0" xfId="0" applyFont="1" applyFill="1" applyBorder="1" applyAlignment="1" applyProtection="1">
      <alignment horizontal="center"/>
      <protection hidden="1"/>
    </xf>
    <xf numFmtId="0" fontId="37" fillId="0" borderId="0" xfId="0" applyFont="1" applyFill="1" applyBorder="1" applyProtection="1">
      <protection hidden="1"/>
    </xf>
    <xf numFmtId="0" fontId="35" fillId="0" borderId="0" xfId="0" applyFont="1" applyFill="1" applyBorder="1" applyProtection="1">
      <protection hidden="1"/>
    </xf>
    <xf numFmtId="0" fontId="18" fillId="3" borderId="0" xfId="0" applyFont="1" applyFill="1" applyBorder="1" applyProtection="1">
      <protection hidden="1"/>
    </xf>
    <xf numFmtId="0" fontId="19" fillId="3" borderId="0" xfId="0" applyFont="1" applyFill="1" applyBorder="1" applyAlignment="1" applyProtection="1">
      <alignment horizontal="center"/>
      <protection hidden="1"/>
    </xf>
    <xf numFmtId="0" fontId="14" fillId="3" borderId="0" xfId="0" applyFont="1" applyFill="1" applyBorder="1" applyAlignment="1" applyProtection="1">
      <alignment horizontal="center"/>
      <protection hidden="1"/>
    </xf>
    <xf numFmtId="0" fontId="9" fillId="3" borderId="0" xfId="0" applyFont="1" applyFill="1" applyBorder="1" applyProtection="1">
      <protection hidden="1"/>
    </xf>
    <xf numFmtId="0" fontId="20" fillId="3" borderId="0" xfId="0" applyFont="1" applyFill="1" applyBorder="1" applyAlignment="1" applyProtection="1">
      <alignment horizontal="center"/>
      <protection hidden="1"/>
    </xf>
    <xf numFmtId="0" fontId="8" fillId="3" borderId="0" xfId="0" applyFont="1" applyFill="1" applyBorder="1" applyAlignment="1" applyProtection="1">
      <alignment horizontal="center"/>
      <protection hidden="1"/>
    </xf>
    <xf numFmtId="0" fontId="14" fillId="3" borderId="0" xfId="0" applyFont="1" applyFill="1" applyBorder="1" applyProtection="1">
      <protection hidden="1"/>
    </xf>
    <xf numFmtId="0" fontId="13" fillId="0" borderId="0" xfId="0" applyFont="1" applyFill="1" applyBorder="1" applyAlignment="1" applyProtection="1">
      <alignment horizontal="right"/>
      <protection hidden="1"/>
    </xf>
    <xf numFmtId="0" fontId="0" fillId="0" borderId="0" xfId="0" applyAlignment="1">
      <alignment vertical="center" wrapText="1"/>
    </xf>
    <xf numFmtId="0" fontId="41" fillId="0" borderId="0" xfId="0" applyFont="1" applyAlignment="1">
      <alignment horizontal="center" vertical="center"/>
    </xf>
    <xf numFmtId="0" fontId="42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40" fillId="0" borderId="0" xfId="1" applyFont="1" applyAlignment="1">
      <alignment horizontal="center" vertical="center"/>
    </xf>
    <xf numFmtId="14" fontId="39" fillId="0" borderId="0" xfId="0" applyNumberFormat="1" applyFont="1" applyFill="1" applyBorder="1" applyAlignment="1" applyProtection="1">
      <alignment horizontal="center"/>
      <protection locked="0" hidden="1"/>
    </xf>
    <xf numFmtId="165" fontId="24" fillId="0" borderId="13" xfId="0" applyNumberFormat="1" applyFont="1" applyFill="1" applyBorder="1" applyAlignment="1" applyProtection="1">
      <alignment horizontal="left"/>
      <protection locked="0" hidden="1"/>
    </xf>
    <xf numFmtId="0" fontId="23" fillId="0" borderId="13" xfId="0" applyFont="1" applyFill="1" applyBorder="1" applyAlignment="1" applyProtection="1">
      <alignment horizontal="center"/>
      <protection locked="0" hidden="1"/>
    </xf>
    <xf numFmtId="0" fontId="26" fillId="0" borderId="13" xfId="0" applyFont="1" applyFill="1" applyBorder="1" applyAlignment="1" applyProtection="1">
      <alignment horizontal="center"/>
      <protection hidden="1"/>
    </xf>
    <xf numFmtId="0" fontId="0" fillId="0" borderId="14" xfId="0" applyFont="1" applyFill="1" applyBorder="1" applyProtection="1">
      <protection hidden="1"/>
    </xf>
    <xf numFmtId="0" fontId="5" fillId="4" borderId="0" xfId="0" applyFont="1" applyFill="1" applyBorder="1" applyProtection="1">
      <protection hidden="1"/>
    </xf>
    <xf numFmtId="164" fontId="5" fillId="4" borderId="0" xfId="0" applyNumberFormat="1" applyFont="1" applyFill="1" applyBorder="1" applyProtection="1">
      <protection hidden="1"/>
    </xf>
    <xf numFmtId="0" fontId="0" fillId="4" borderId="0" xfId="0" applyFont="1" applyFill="1" applyBorder="1" applyProtection="1">
      <protection hidden="1"/>
    </xf>
    <xf numFmtId="0" fontId="6" fillId="4" borderId="0" xfId="0" applyFont="1" applyFill="1" applyBorder="1" applyProtection="1">
      <protection hidden="1"/>
    </xf>
    <xf numFmtId="0" fontId="7" fillId="4" borderId="0" xfId="0" applyFont="1" applyFill="1" applyBorder="1" applyProtection="1">
      <protection hidden="1"/>
    </xf>
    <xf numFmtId="0" fontId="0" fillId="5" borderId="0" xfId="0" applyFont="1" applyFill="1" applyBorder="1" applyProtection="1">
      <protection hidden="1"/>
    </xf>
    <xf numFmtId="165" fontId="24" fillId="0" borderId="15" xfId="0" applyNumberFormat="1" applyFont="1" applyFill="1" applyBorder="1" applyAlignment="1" applyProtection="1">
      <alignment horizontal="left"/>
      <protection locked="0" hidden="1"/>
    </xf>
    <xf numFmtId="0" fontId="23" fillId="0" borderId="15" xfId="0" applyFont="1" applyFill="1" applyBorder="1" applyAlignment="1" applyProtection="1">
      <alignment horizontal="center"/>
      <protection locked="0" hidden="1"/>
    </xf>
    <xf numFmtId="0" fontId="26" fillId="0" borderId="15" xfId="0" applyFont="1" applyFill="1" applyBorder="1" applyAlignment="1" applyProtection="1">
      <alignment horizontal="center"/>
      <protection hidden="1"/>
    </xf>
    <xf numFmtId="0" fontId="51" fillId="6" borderId="0" xfId="0" applyFont="1" applyFill="1" applyBorder="1" applyProtection="1">
      <protection hidden="1"/>
    </xf>
    <xf numFmtId="164" fontId="52" fillId="6" borderId="0" xfId="0" applyNumberFormat="1" applyFont="1" applyFill="1" applyBorder="1" applyProtection="1">
      <protection hidden="1"/>
    </xf>
    <xf numFmtId="0" fontId="53" fillId="6" borderId="0" xfId="0" applyFont="1" applyFill="1" applyBorder="1" applyProtection="1">
      <protection hidden="1"/>
    </xf>
    <xf numFmtId="0" fontId="52" fillId="6" borderId="0" xfId="0" applyFont="1" applyFill="1" applyBorder="1" applyProtection="1">
      <protection hidden="1"/>
    </xf>
    <xf numFmtId="165" fontId="24" fillId="0" borderId="16" xfId="0" applyNumberFormat="1" applyFont="1" applyFill="1" applyBorder="1" applyAlignment="1" applyProtection="1">
      <alignment horizontal="left"/>
      <protection locked="0" hidden="1"/>
    </xf>
    <xf numFmtId="0" fontId="23" fillId="0" borderId="16" xfId="0" applyFont="1" applyFill="1" applyBorder="1" applyAlignment="1" applyProtection="1">
      <alignment horizontal="center"/>
      <protection locked="0" hidden="1"/>
    </xf>
    <xf numFmtId="0" fontId="26" fillId="0" borderId="16" xfId="0" applyFont="1" applyFill="1" applyBorder="1" applyAlignment="1" applyProtection="1">
      <alignment horizontal="center"/>
      <protection hidden="1"/>
    </xf>
    <xf numFmtId="0" fontId="6" fillId="7" borderId="0" xfId="0" applyFont="1" applyFill="1" applyBorder="1" applyProtection="1">
      <protection hidden="1"/>
    </xf>
    <xf numFmtId="164" fontId="5" fillId="7" borderId="0" xfId="0" applyNumberFormat="1" applyFont="1" applyFill="1" applyBorder="1" applyProtection="1">
      <protection hidden="1"/>
    </xf>
    <xf numFmtId="0" fontId="27" fillId="7" borderId="0" xfId="0" applyFont="1" applyFill="1" applyBorder="1" applyProtection="1">
      <protection hidden="1"/>
    </xf>
    <xf numFmtId="0" fontId="5" fillId="7" borderId="0" xfId="0" applyFont="1" applyFill="1" applyBorder="1" applyProtection="1">
      <protection hidden="1"/>
    </xf>
    <xf numFmtId="0" fontId="7" fillId="7" borderId="0" xfId="0" applyFont="1" applyFill="1" applyBorder="1" applyProtection="1">
      <protection hidden="1"/>
    </xf>
    <xf numFmtId="165" fontId="24" fillId="0" borderId="17" xfId="0" applyNumberFormat="1" applyFont="1" applyFill="1" applyBorder="1" applyAlignment="1" applyProtection="1">
      <alignment horizontal="left"/>
      <protection locked="0" hidden="1"/>
    </xf>
    <xf numFmtId="0" fontId="23" fillId="0" borderId="17" xfId="0" applyFont="1" applyFill="1" applyBorder="1" applyAlignment="1" applyProtection="1">
      <alignment horizontal="center"/>
      <protection locked="0" hidden="1"/>
    </xf>
    <xf numFmtId="0" fontId="26" fillId="0" borderId="17" xfId="0" applyFont="1" applyFill="1" applyBorder="1" applyAlignment="1" applyProtection="1">
      <alignment horizontal="center"/>
      <protection hidden="1"/>
    </xf>
    <xf numFmtId="0" fontId="30" fillId="0" borderId="18" xfId="0" applyFont="1" applyFill="1" applyBorder="1" applyAlignment="1" applyProtection="1">
      <alignment horizontal="center"/>
      <protection hidden="1"/>
    </xf>
    <xf numFmtId="0" fontId="30" fillId="0" borderId="19" xfId="0" applyFont="1" applyFill="1" applyBorder="1" applyAlignment="1" applyProtection="1">
      <alignment horizontal="center"/>
      <protection hidden="1"/>
    </xf>
    <xf numFmtId="0" fontId="30" fillId="0" borderId="20" xfId="0" applyFont="1" applyFill="1" applyBorder="1" applyAlignment="1" applyProtection="1">
      <alignment horizontal="center"/>
      <protection hidden="1"/>
    </xf>
    <xf numFmtId="0" fontId="23" fillId="0" borderId="22" xfId="0" applyFont="1" applyFill="1" applyBorder="1" applyAlignment="1" applyProtection="1">
      <alignment horizontal="center"/>
      <protection hidden="1"/>
    </xf>
    <xf numFmtId="0" fontId="25" fillId="0" borderId="23" xfId="0" applyFont="1" applyFill="1" applyBorder="1" applyProtection="1">
      <protection hidden="1"/>
    </xf>
    <xf numFmtId="0" fontId="54" fillId="0" borderId="0" xfId="0" applyFont="1" applyFill="1" applyBorder="1" applyAlignment="1" applyProtection="1">
      <alignment horizontal="center"/>
      <protection hidden="1"/>
    </xf>
    <xf numFmtId="165" fontId="24" fillId="0" borderId="24" xfId="0" applyNumberFormat="1" applyFont="1" applyFill="1" applyBorder="1" applyAlignment="1" applyProtection="1">
      <alignment horizontal="left"/>
      <protection locked="0" hidden="1"/>
    </xf>
    <xf numFmtId="0" fontId="6" fillId="8" borderId="25" xfId="0" applyFont="1" applyFill="1" applyBorder="1" applyProtection="1">
      <protection hidden="1"/>
    </xf>
    <xf numFmtId="164" fontId="5" fillId="8" borderId="25" xfId="0" applyNumberFormat="1" applyFont="1" applyFill="1" applyBorder="1" applyProtection="1">
      <protection hidden="1"/>
    </xf>
    <xf numFmtId="0" fontId="27" fillId="8" borderId="25" xfId="0" applyFont="1" applyFill="1" applyBorder="1" applyProtection="1">
      <protection hidden="1"/>
    </xf>
    <xf numFmtId="0" fontId="5" fillId="8" borderId="25" xfId="0" applyFont="1" applyFill="1" applyBorder="1" applyProtection="1">
      <protection hidden="1"/>
    </xf>
    <xf numFmtId="0" fontId="7" fillId="8" borderId="25" xfId="0" applyFont="1" applyFill="1" applyBorder="1" applyProtection="1">
      <protection hidden="1"/>
    </xf>
    <xf numFmtId="0" fontId="33" fillId="0" borderId="4" xfId="0" applyNumberFormat="1" applyFont="1" applyFill="1" applyBorder="1" applyAlignment="1" applyProtection="1">
      <alignment horizontal="center"/>
      <protection locked="0" hidden="1"/>
    </xf>
    <xf numFmtId="0" fontId="26" fillId="0" borderId="5" xfId="0" applyFont="1" applyFill="1" applyBorder="1" applyAlignment="1" applyProtection="1">
      <alignment horizontal="center"/>
      <protection hidden="1"/>
    </xf>
    <xf numFmtId="0" fontId="33" fillId="0" borderId="6" xfId="0" applyNumberFormat="1" applyFont="1" applyFill="1" applyBorder="1" applyAlignment="1" applyProtection="1">
      <alignment horizontal="center"/>
      <protection locked="0" hidden="1"/>
    </xf>
    <xf numFmtId="14" fontId="24" fillId="0" borderId="26" xfId="0" applyNumberFormat="1" applyFont="1" applyFill="1" applyBorder="1" applyAlignment="1" applyProtection="1">
      <alignment horizontal="center"/>
      <protection locked="0" hidden="1"/>
    </xf>
    <xf numFmtId="14" fontId="24" fillId="0" borderId="27" xfId="0" applyNumberFormat="1" applyFont="1" applyFill="1" applyBorder="1" applyAlignment="1" applyProtection="1">
      <alignment horizontal="center"/>
      <protection locked="0" hidden="1"/>
    </xf>
    <xf numFmtId="0" fontId="54" fillId="0" borderId="28" xfId="0" applyFont="1" applyFill="1" applyBorder="1" applyAlignment="1" applyProtection="1">
      <alignment horizontal="center"/>
      <protection hidden="1"/>
    </xf>
    <xf numFmtId="0" fontId="30" fillId="0" borderId="28" xfId="0" applyFont="1" applyFill="1" applyBorder="1" applyAlignment="1" applyProtection="1">
      <alignment horizontal="center"/>
      <protection hidden="1"/>
    </xf>
    <xf numFmtId="0" fontId="29" fillId="0" borderId="29" xfId="0" applyFont="1" applyFill="1" applyBorder="1" applyAlignment="1" applyProtection="1">
      <alignment horizontal="center"/>
      <protection hidden="1"/>
    </xf>
    <xf numFmtId="0" fontId="30" fillId="0" borderId="29" xfId="0" applyFont="1" applyFill="1" applyBorder="1" applyAlignment="1" applyProtection="1">
      <alignment horizontal="center"/>
      <protection hidden="1"/>
    </xf>
    <xf numFmtId="0" fontId="30" fillId="0" borderId="30" xfId="0" applyFont="1" applyFill="1" applyBorder="1" applyAlignment="1" applyProtection="1">
      <alignment horizontal="center"/>
      <protection hidden="1"/>
    </xf>
    <xf numFmtId="0" fontId="1" fillId="0" borderId="22" xfId="0" applyFont="1" applyFill="1" applyBorder="1" applyAlignment="1" applyProtection="1">
      <alignment horizontal="right"/>
      <protection hidden="1"/>
    </xf>
    <xf numFmtId="0" fontId="1" fillId="0" borderId="31" xfId="0" applyFont="1" applyFill="1" applyBorder="1" applyAlignment="1" applyProtection="1">
      <alignment horizontal="right"/>
      <protection hidden="1"/>
    </xf>
    <xf numFmtId="0" fontId="1" fillId="0" borderId="32" xfId="0" applyFont="1" applyFill="1" applyBorder="1" applyAlignment="1" applyProtection="1">
      <alignment horizontal="right"/>
      <protection hidden="1"/>
    </xf>
    <xf numFmtId="0" fontId="14" fillId="9" borderId="0" xfId="0" applyFont="1" applyFill="1" applyBorder="1" applyProtection="1">
      <protection hidden="1"/>
    </xf>
    <xf numFmtId="0" fontId="14" fillId="9" borderId="0" xfId="0" applyFont="1" applyFill="1" applyProtection="1">
      <protection hidden="1"/>
    </xf>
    <xf numFmtId="0" fontId="12" fillId="9" borderId="0" xfId="1" applyNumberFormat="1" applyFont="1" applyFill="1" applyBorder="1" applyAlignment="1" applyProtection="1">
      <protection hidden="1"/>
    </xf>
    <xf numFmtId="0" fontId="14" fillId="10" borderId="0" xfId="0" applyFont="1" applyFill="1" applyProtection="1">
      <protection hidden="1"/>
    </xf>
    <xf numFmtId="0" fontId="14" fillId="10" borderId="0" xfId="0" applyFont="1" applyFill="1" applyBorder="1" applyProtection="1">
      <protection hidden="1"/>
    </xf>
    <xf numFmtId="0" fontId="55" fillId="10" borderId="0" xfId="0" applyFont="1" applyFill="1" applyProtection="1">
      <protection hidden="1"/>
    </xf>
    <xf numFmtId="0" fontId="56" fillId="10" borderId="0" xfId="0" applyFont="1" applyFill="1" applyAlignment="1" applyProtection="1">
      <alignment horizontal="center"/>
      <protection hidden="1"/>
    </xf>
    <xf numFmtId="0" fontId="57" fillId="0" borderId="0" xfId="0" applyFont="1" applyFill="1" applyProtection="1">
      <protection hidden="1"/>
    </xf>
    <xf numFmtId="0" fontId="33" fillId="0" borderId="4" xfId="0" applyFont="1" applyFill="1" applyBorder="1" applyAlignment="1" applyProtection="1">
      <alignment horizontal="center"/>
      <protection locked="0" hidden="1"/>
    </xf>
    <xf numFmtId="0" fontId="33" fillId="0" borderId="6" xfId="0" applyFont="1" applyFill="1" applyBorder="1" applyAlignment="1" applyProtection="1">
      <alignment horizontal="center"/>
      <protection locked="0" hidden="1"/>
    </xf>
    <xf numFmtId="0" fontId="23" fillId="0" borderId="7" xfId="0" applyFont="1" applyFill="1" applyBorder="1" applyAlignment="1" applyProtection="1">
      <alignment horizontal="center"/>
      <protection hidden="1"/>
    </xf>
    <xf numFmtId="14" fontId="24" fillId="0" borderId="13" xfId="0" applyNumberFormat="1" applyFont="1" applyFill="1" applyBorder="1" applyAlignment="1" applyProtection="1">
      <alignment horizontal="center"/>
      <protection locked="0" hidden="1"/>
    </xf>
    <xf numFmtId="0" fontId="34" fillId="0" borderId="0" xfId="0" applyFont="1" applyFill="1" applyBorder="1" applyProtection="1">
      <protection hidden="1"/>
    </xf>
    <xf numFmtId="0" fontId="0" fillId="11" borderId="0" xfId="0" applyFont="1" applyFill="1" applyBorder="1" applyAlignment="1" applyProtection="1">
      <alignment horizontal="left"/>
      <protection hidden="1"/>
    </xf>
    <xf numFmtId="0" fontId="0" fillId="7" borderId="0" xfId="0" applyFont="1" applyFill="1" applyBorder="1" applyAlignment="1" applyProtection="1">
      <alignment horizontal="left"/>
      <protection hidden="1"/>
    </xf>
    <xf numFmtId="0" fontId="0" fillId="12" borderId="0" xfId="0" applyFont="1" applyFill="1" applyBorder="1" applyAlignment="1" applyProtection="1">
      <alignment horizontal="left"/>
      <protection hidden="1"/>
    </xf>
    <xf numFmtId="0" fontId="0" fillId="13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0" fillId="8" borderId="0" xfId="0" applyFont="1" applyFill="1" applyBorder="1" applyProtection="1">
      <protection hidden="1"/>
    </xf>
    <xf numFmtId="0" fontId="4" fillId="14" borderId="0" xfId="0" applyFont="1" applyFill="1" applyBorder="1" applyAlignment="1" applyProtection="1">
      <alignment horizontal="center"/>
      <protection hidden="1"/>
    </xf>
    <xf numFmtId="0" fontId="14" fillId="9" borderId="0" xfId="0" applyFont="1" applyFill="1" applyBorder="1" applyProtection="1">
      <protection locked="0" hidden="1"/>
    </xf>
    <xf numFmtId="0" fontId="0" fillId="0" borderId="0" xfId="0" applyFont="1" applyFill="1" applyBorder="1" applyProtection="1">
      <protection locked="0" hidden="1"/>
    </xf>
    <xf numFmtId="0" fontId="21" fillId="0" borderId="0" xfId="0" applyFont="1" applyFill="1" applyBorder="1" applyProtection="1">
      <protection locked="0" hidden="1"/>
    </xf>
    <xf numFmtId="0" fontId="22" fillId="0" borderId="0" xfId="0" applyFont="1" applyFill="1" applyBorder="1" applyAlignment="1" applyProtection="1">
      <alignment horizontal="center" vertical="top"/>
      <protection locked="0" hidden="1"/>
    </xf>
    <xf numFmtId="0" fontId="58" fillId="0" borderId="0" xfId="0" applyFont="1" applyFill="1" applyBorder="1" applyAlignment="1" applyProtection="1">
      <alignment horizontal="center"/>
      <protection hidden="1"/>
    </xf>
    <xf numFmtId="0" fontId="58" fillId="0" borderId="18" xfId="0" applyFont="1" applyFill="1" applyBorder="1" applyAlignment="1" applyProtection="1">
      <alignment horizontal="center"/>
      <protection hidden="1"/>
    </xf>
    <xf numFmtId="0" fontId="29" fillId="0" borderId="19" xfId="0" applyFont="1" applyFill="1" applyBorder="1" applyAlignment="1" applyProtection="1">
      <alignment horizontal="center"/>
      <protection hidden="1"/>
    </xf>
    <xf numFmtId="0" fontId="0" fillId="0" borderId="33" xfId="0" applyFont="1" applyFill="1" applyBorder="1" applyProtection="1">
      <protection hidden="1"/>
    </xf>
    <xf numFmtId="0" fontId="51" fillId="0" borderId="0" xfId="0" applyFont="1" applyFill="1" applyBorder="1" applyAlignment="1" applyProtection="1">
      <alignment horizontal="center"/>
      <protection hidden="1"/>
    </xf>
    <xf numFmtId="0" fontId="51" fillId="0" borderId="34" xfId="0" applyFont="1" applyFill="1" applyBorder="1" applyAlignment="1" applyProtection="1">
      <alignment horizontal="center"/>
      <protection hidden="1"/>
    </xf>
    <xf numFmtId="0" fontId="30" fillId="0" borderId="34" xfId="0" applyFont="1" applyFill="1" applyBorder="1" applyAlignment="1" applyProtection="1">
      <alignment horizontal="center"/>
      <protection hidden="1"/>
    </xf>
    <xf numFmtId="0" fontId="29" fillId="0" borderId="33" xfId="0" applyFont="1" applyFill="1" applyBorder="1" applyAlignment="1" applyProtection="1">
      <alignment horizontal="center"/>
      <protection hidden="1"/>
    </xf>
    <xf numFmtId="0" fontId="30" fillId="0" borderId="33" xfId="0" applyFont="1" applyFill="1" applyBorder="1" applyAlignment="1" applyProtection="1">
      <alignment horizontal="center"/>
      <protection hidden="1"/>
    </xf>
    <xf numFmtId="0" fontId="30" fillId="0" borderId="35" xfId="0" applyFont="1" applyFill="1" applyBorder="1" applyAlignment="1" applyProtection="1">
      <alignment horizontal="center"/>
      <protection hidden="1"/>
    </xf>
    <xf numFmtId="0" fontId="0" fillId="0" borderId="36" xfId="0" applyFont="1" applyFill="1" applyBorder="1" applyProtection="1">
      <protection hidden="1"/>
    </xf>
    <xf numFmtId="0" fontId="59" fillId="0" borderId="0" xfId="0" applyFont="1" applyFill="1" applyBorder="1" applyAlignment="1" applyProtection="1">
      <alignment horizontal="center"/>
      <protection hidden="1"/>
    </xf>
    <xf numFmtId="0" fontId="59" fillId="0" borderId="37" xfId="0" applyFont="1" applyFill="1" applyBorder="1" applyAlignment="1" applyProtection="1">
      <alignment horizontal="center"/>
      <protection hidden="1"/>
    </xf>
    <xf numFmtId="0" fontId="30" fillId="0" borderId="37" xfId="0" applyFont="1" applyFill="1" applyBorder="1" applyAlignment="1" applyProtection="1">
      <alignment horizontal="center"/>
      <protection hidden="1"/>
    </xf>
    <xf numFmtId="0" fontId="29" fillId="0" borderId="36" xfId="0" applyFont="1" applyFill="1" applyBorder="1" applyAlignment="1" applyProtection="1">
      <alignment horizontal="center"/>
      <protection hidden="1"/>
    </xf>
    <xf numFmtId="0" fontId="30" fillId="0" borderId="36" xfId="0" applyFont="1" applyFill="1" applyBorder="1" applyAlignment="1" applyProtection="1">
      <alignment horizontal="center"/>
      <protection hidden="1"/>
    </xf>
    <xf numFmtId="0" fontId="30" fillId="0" borderId="38" xfId="0" applyFont="1" applyFill="1" applyBorder="1" applyAlignment="1" applyProtection="1">
      <alignment horizontal="center"/>
      <protection hidden="1"/>
    </xf>
    <xf numFmtId="0" fontId="54" fillId="0" borderId="39" xfId="0" applyFont="1" applyFill="1" applyBorder="1" applyAlignment="1" applyProtection="1">
      <alignment horizontal="center"/>
      <protection hidden="1"/>
    </xf>
    <xf numFmtId="0" fontId="30" fillId="0" borderId="39" xfId="0" applyFont="1" applyFill="1" applyBorder="1" applyAlignment="1" applyProtection="1">
      <alignment horizontal="center"/>
      <protection hidden="1"/>
    </xf>
    <xf numFmtId="0" fontId="0" fillId="0" borderId="40" xfId="0" applyFont="1" applyFill="1" applyBorder="1" applyProtection="1">
      <protection hidden="1"/>
    </xf>
    <xf numFmtId="0" fontId="29" fillId="0" borderId="40" xfId="0" applyFont="1" applyFill="1" applyBorder="1" applyAlignment="1" applyProtection="1">
      <alignment horizontal="center"/>
      <protection hidden="1"/>
    </xf>
    <xf numFmtId="0" fontId="30" fillId="0" borderId="40" xfId="0" applyFont="1" applyFill="1" applyBorder="1" applyAlignment="1" applyProtection="1">
      <alignment horizontal="center"/>
      <protection hidden="1"/>
    </xf>
    <xf numFmtId="0" fontId="30" fillId="0" borderId="41" xfId="0" applyFont="1" applyFill="1" applyBorder="1" applyAlignment="1" applyProtection="1">
      <alignment horizontal="center"/>
      <protection hidden="1"/>
    </xf>
    <xf numFmtId="0" fontId="1" fillId="0" borderId="42" xfId="0" applyFont="1" applyFill="1" applyBorder="1" applyAlignment="1" applyProtection="1">
      <alignment horizontal="left"/>
      <protection hidden="1"/>
    </xf>
    <xf numFmtId="0" fontId="23" fillId="0" borderId="43" xfId="0" applyFont="1" applyFill="1" applyBorder="1" applyAlignment="1" applyProtection="1">
      <alignment horizontal="center"/>
      <protection locked="0" hidden="1"/>
    </xf>
    <xf numFmtId="0" fontId="26" fillId="0" borderId="43" xfId="0" applyFont="1" applyFill="1" applyBorder="1" applyAlignment="1" applyProtection="1">
      <alignment horizontal="center"/>
      <protection hidden="1"/>
    </xf>
    <xf numFmtId="0" fontId="0" fillId="0" borderId="19" xfId="0" applyFont="1" applyFill="1" applyBorder="1" applyProtection="1">
      <protection hidden="1"/>
    </xf>
    <xf numFmtId="0" fontId="1" fillId="0" borderId="23" xfId="0" applyFont="1" applyFill="1" applyBorder="1" applyAlignment="1" applyProtection="1">
      <alignment horizontal="left"/>
      <protection hidden="1"/>
    </xf>
    <xf numFmtId="0" fontId="25" fillId="0" borderId="44" xfId="0" applyFont="1" applyFill="1" applyBorder="1" applyProtection="1">
      <protection hidden="1"/>
    </xf>
    <xf numFmtId="0" fontId="25" fillId="0" borderId="45" xfId="0" applyFont="1" applyFill="1" applyBorder="1" applyProtection="1">
      <protection hidden="1"/>
    </xf>
    <xf numFmtId="0" fontId="23" fillId="0" borderId="31" xfId="0" applyFont="1" applyFill="1" applyBorder="1" applyAlignment="1" applyProtection="1">
      <alignment horizontal="center"/>
      <protection hidden="1"/>
    </xf>
    <xf numFmtId="0" fontId="23" fillId="0" borderId="32" xfId="0" applyFont="1" applyFill="1" applyBorder="1" applyAlignment="1" applyProtection="1">
      <alignment horizontal="center"/>
      <protection hidden="1"/>
    </xf>
    <xf numFmtId="0" fontId="25" fillId="0" borderId="46" xfId="0" applyFont="1" applyFill="1" applyBorder="1" applyProtection="1">
      <protection hidden="1"/>
    </xf>
    <xf numFmtId="0" fontId="0" fillId="0" borderId="47" xfId="0" applyFill="1" applyBorder="1" applyAlignment="1" applyProtection="1">
      <alignment horizontal="right"/>
      <protection hidden="1"/>
    </xf>
    <xf numFmtId="0" fontId="23" fillId="0" borderId="47" xfId="0" applyFont="1" applyFill="1" applyBorder="1" applyAlignment="1" applyProtection="1">
      <alignment horizontal="center"/>
      <protection hidden="1"/>
    </xf>
    <xf numFmtId="0" fontId="0" fillId="0" borderId="22" xfId="0" applyFill="1" applyBorder="1" applyAlignment="1" applyProtection="1">
      <alignment horizontal="right"/>
      <protection hidden="1"/>
    </xf>
    <xf numFmtId="0" fontId="0" fillId="0" borderId="32" xfId="0" applyFill="1" applyBorder="1" applyAlignment="1" applyProtection="1">
      <alignment horizontal="right"/>
      <protection hidden="1"/>
    </xf>
    <xf numFmtId="0" fontId="25" fillId="0" borderId="48" xfId="0" applyFont="1" applyFill="1" applyBorder="1" applyProtection="1">
      <protection hidden="1"/>
    </xf>
    <xf numFmtId="0" fontId="0" fillId="0" borderId="49" xfId="0" applyFill="1" applyBorder="1" applyAlignment="1" applyProtection="1">
      <alignment horizontal="right"/>
      <protection hidden="1"/>
    </xf>
    <xf numFmtId="0" fontId="23" fillId="0" borderId="49" xfId="0" applyFont="1" applyFill="1" applyBorder="1" applyAlignment="1" applyProtection="1">
      <alignment horizontal="center"/>
      <protection hidden="1"/>
    </xf>
    <xf numFmtId="0" fontId="40" fillId="0" borderId="0" xfId="1" applyFont="1" applyAlignment="1">
      <alignment horizontal="right"/>
    </xf>
    <xf numFmtId="0" fontId="0" fillId="0" borderId="0" xfId="0" applyFill="1" applyBorder="1" applyProtection="1">
      <protection locked="0" hidden="1"/>
    </xf>
    <xf numFmtId="167" fontId="31" fillId="0" borderId="0" xfId="0" applyNumberFormat="1" applyFont="1" applyFill="1" applyBorder="1" applyAlignment="1" applyProtection="1">
      <alignment horizontal="left"/>
      <protection locked="0" hidden="1"/>
    </xf>
    <xf numFmtId="167" fontId="39" fillId="0" borderId="0" xfId="0" applyNumberFormat="1" applyFont="1" applyFill="1" applyBorder="1" applyAlignment="1" applyProtection="1">
      <alignment horizontal="left"/>
      <protection locked="0" hidden="1"/>
    </xf>
    <xf numFmtId="0" fontId="60" fillId="0" borderId="50" xfId="0" applyFont="1" applyFill="1" applyBorder="1" applyProtection="1">
      <protection hidden="1"/>
    </xf>
    <xf numFmtId="0" fontId="60" fillId="0" borderId="51" xfId="0" applyFont="1" applyFill="1" applyBorder="1" applyProtection="1">
      <protection hidden="1"/>
    </xf>
    <xf numFmtId="0" fontId="60" fillId="0" borderId="52" xfId="0" applyFont="1" applyFill="1" applyBorder="1" applyAlignment="1" applyProtection="1">
      <alignment horizontal="right"/>
      <protection hidden="1"/>
    </xf>
    <xf numFmtId="0" fontId="60" fillId="0" borderId="53" xfId="0" applyFont="1" applyFill="1" applyBorder="1" applyAlignment="1" applyProtection="1">
      <alignment horizontal="right"/>
      <protection hidden="1"/>
    </xf>
    <xf numFmtId="0" fontId="60" fillId="0" borderId="50" xfId="0" applyFont="1" applyFill="1" applyBorder="1" applyAlignment="1" applyProtection="1">
      <alignment horizontal="right"/>
      <protection hidden="1"/>
    </xf>
    <xf numFmtId="0" fontId="60" fillId="0" borderId="51" xfId="0" applyFont="1" applyFill="1" applyBorder="1" applyAlignment="1" applyProtection="1">
      <alignment horizontal="right"/>
      <protection hidden="1"/>
    </xf>
    <xf numFmtId="0" fontId="60" fillId="0" borderId="52" xfId="0" applyFont="1" applyFill="1" applyBorder="1" applyProtection="1">
      <protection hidden="1"/>
    </xf>
    <xf numFmtId="0" fontId="60" fillId="0" borderId="0" xfId="0" applyFont="1" applyFill="1" applyBorder="1" applyProtection="1">
      <protection hidden="1"/>
    </xf>
    <xf numFmtId="0" fontId="60" fillId="8" borderId="25" xfId="0" applyFont="1" applyFill="1" applyBorder="1" applyProtection="1">
      <protection hidden="1"/>
    </xf>
    <xf numFmtId="0" fontId="60" fillId="0" borderId="54" xfId="0" applyFont="1" applyFill="1" applyBorder="1" applyProtection="1">
      <protection hidden="1"/>
    </xf>
    <xf numFmtId="0" fontId="60" fillId="6" borderId="0" xfId="0" applyFont="1" applyFill="1" applyBorder="1" applyProtection="1">
      <protection hidden="1"/>
    </xf>
    <xf numFmtId="0" fontId="60" fillId="0" borderId="55" xfId="0" applyFont="1" applyFill="1" applyBorder="1" applyProtection="1">
      <protection hidden="1"/>
    </xf>
    <xf numFmtId="0" fontId="60" fillId="0" borderId="56" xfId="0" applyFont="1" applyFill="1" applyBorder="1" applyProtection="1">
      <protection hidden="1"/>
    </xf>
    <xf numFmtId="0" fontId="60" fillId="0" borderId="57" xfId="0" applyFont="1" applyFill="1" applyBorder="1" applyProtection="1">
      <protection hidden="1"/>
    </xf>
    <xf numFmtId="0" fontId="60" fillId="7" borderId="0" xfId="0" applyFont="1" applyFill="1" applyBorder="1" applyProtection="1">
      <protection hidden="1"/>
    </xf>
    <xf numFmtId="0" fontId="60" fillId="0" borderId="58" xfId="0" applyFont="1" applyFill="1" applyBorder="1" applyProtection="1">
      <protection hidden="1"/>
    </xf>
    <xf numFmtId="0" fontId="60" fillId="0" borderId="59" xfId="0" applyFont="1" applyFill="1" applyBorder="1" applyProtection="1">
      <protection hidden="1"/>
    </xf>
    <xf numFmtId="0" fontId="60" fillId="0" borderId="60" xfId="0" applyFont="1" applyFill="1" applyBorder="1" applyProtection="1">
      <protection hidden="1"/>
    </xf>
    <xf numFmtId="0" fontId="60" fillId="4" borderId="0" xfId="0" applyFont="1" applyFill="1" applyBorder="1" applyProtection="1">
      <protection hidden="1"/>
    </xf>
    <xf numFmtId="0" fontId="60" fillId="0" borderId="14" xfId="0" applyFont="1" applyFill="1" applyBorder="1" applyProtection="1">
      <protection hidden="1"/>
    </xf>
    <xf numFmtId="0" fontId="60" fillId="0" borderId="53" xfId="0" applyFont="1" applyFill="1" applyBorder="1" applyProtection="1">
      <protection hidden="1"/>
    </xf>
    <xf numFmtId="0" fontId="60" fillId="0" borderId="61" xfId="0" applyFont="1" applyFill="1" applyBorder="1" applyProtection="1">
      <protection hidden="1"/>
    </xf>
    <xf numFmtId="0" fontId="61" fillId="0" borderId="0" xfId="0" applyFont="1" applyFill="1" applyBorder="1" applyProtection="1">
      <protection hidden="1"/>
    </xf>
    <xf numFmtId="0" fontId="0" fillId="0" borderId="29" xfId="0" applyFont="1" applyFill="1" applyBorder="1" applyProtection="1">
      <protection hidden="1"/>
    </xf>
    <xf numFmtId="0" fontId="51" fillId="10" borderId="21" xfId="0" applyFont="1" applyFill="1" applyBorder="1" applyAlignment="1" applyProtection="1">
      <alignment vertical="center"/>
      <protection hidden="1"/>
    </xf>
    <xf numFmtId="0" fontId="0" fillId="10" borderId="21" xfId="0" applyFont="1" applyFill="1" applyBorder="1" applyProtection="1">
      <protection hidden="1"/>
    </xf>
    <xf numFmtId="0" fontId="4" fillId="10" borderId="21" xfId="0" applyFont="1" applyFill="1" applyBorder="1" applyProtection="1">
      <protection hidden="1"/>
    </xf>
    <xf numFmtId="0" fontId="1" fillId="10" borderId="21" xfId="0" applyFont="1" applyFill="1" applyBorder="1" applyProtection="1">
      <protection hidden="1"/>
    </xf>
    <xf numFmtId="0" fontId="51" fillId="15" borderId="0" xfId="0" applyFont="1" applyFill="1" applyBorder="1" applyAlignment="1" applyProtection="1">
      <alignment vertical="center"/>
      <protection hidden="1"/>
    </xf>
    <xf numFmtId="0" fontId="52" fillId="15" borderId="0" xfId="0" applyFont="1" applyFill="1" applyBorder="1" applyProtection="1">
      <protection hidden="1"/>
    </xf>
    <xf numFmtId="0" fontId="51" fillId="15" borderId="0" xfId="0" applyFont="1" applyFill="1" applyBorder="1" applyProtection="1">
      <protection hidden="1"/>
    </xf>
    <xf numFmtId="0" fontId="38" fillId="15" borderId="0" xfId="0" applyFont="1" applyFill="1" applyBorder="1" applyProtection="1">
      <protection hidden="1"/>
    </xf>
    <xf numFmtId="0" fontId="15" fillId="15" borderId="0" xfId="0" applyFont="1" applyFill="1" applyBorder="1" applyProtection="1">
      <protection hidden="1"/>
    </xf>
    <xf numFmtId="0" fontId="16" fillId="15" borderId="0" xfId="0" applyFont="1" applyFill="1" applyBorder="1" applyProtection="1">
      <protection hidden="1"/>
    </xf>
    <xf numFmtId="0" fontId="35" fillId="15" borderId="0" xfId="0" applyFont="1" applyFill="1" applyBorder="1" applyProtection="1">
      <protection hidden="1"/>
    </xf>
    <xf numFmtId="0" fontId="51" fillId="11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Protection="1">
      <protection hidden="1"/>
    </xf>
    <xf numFmtId="0" fontId="4" fillId="11" borderId="0" xfId="0" applyFont="1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35" fillId="11" borderId="0" xfId="0" applyFont="1" applyFill="1" applyBorder="1" applyProtection="1">
      <protection hidden="1"/>
    </xf>
    <xf numFmtId="0" fontId="62" fillId="0" borderId="0" xfId="0" applyFont="1" applyFill="1" applyProtection="1">
      <protection hidden="1"/>
    </xf>
    <xf numFmtId="0" fontId="2" fillId="16" borderId="0" xfId="0" applyFont="1" applyFill="1" applyProtection="1">
      <protection hidden="1"/>
    </xf>
    <xf numFmtId="0" fontId="0" fillId="16" borderId="0" xfId="0" applyFill="1" applyProtection="1">
      <protection hidden="1"/>
    </xf>
    <xf numFmtId="0" fontId="1" fillId="0" borderId="44" xfId="0" applyFont="1" applyFill="1" applyBorder="1" applyAlignment="1" applyProtection="1">
      <alignment horizontal="left"/>
      <protection hidden="1"/>
    </xf>
    <xf numFmtId="0" fontId="1" fillId="0" borderId="45" xfId="0" applyFont="1" applyFill="1" applyBorder="1" applyAlignment="1" applyProtection="1">
      <alignment horizontal="left"/>
      <protection hidden="1"/>
    </xf>
    <xf numFmtId="0" fontId="0" fillId="0" borderId="46" xfId="0" applyFill="1" applyBorder="1" applyAlignment="1" applyProtection="1">
      <alignment horizontal="left"/>
      <protection hidden="1"/>
    </xf>
    <xf numFmtId="0" fontId="0" fillId="0" borderId="48" xfId="0" applyFill="1" applyBorder="1" applyAlignment="1" applyProtection="1">
      <alignment horizontal="left"/>
      <protection hidden="1"/>
    </xf>
    <xf numFmtId="0" fontId="0" fillId="0" borderId="23" xfId="0" applyFill="1" applyBorder="1" applyAlignment="1" applyProtection="1">
      <alignment horizontal="left"/>
      <protection hidden="1"/>
    </xf>
    <xf numFmtId="0" fontId="0" fillId="0" borderId="45" xfId="0" applyFill="1" applyBorder="1" applyAlignment="1" applyProtection="1">
      <alignment horizontal="left"/>
      <protection hidden="1"/>
    </xf>
    <xf numFmtId="0" fontId="0" fillId="0" borderId="21" xfId="0" applyFont="1" applyFill="1" applyBorder="1" applyAlignment="1" applyProtection="1">
      <alignment horizontal="center" vertical="top"/>
      <protection hidden="1"/>
    </xf>
    <xf numFmtId="0" fontId="10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Alignment="1" applyProtection="1">
      <alignment vertical="center"/>
      <protection hidden="1"/>
    </xf>
    <xf numFmtId="0" fontId="21" fillId="16" borderId="0" xfId="0" applyFont="1" applyFill="1" applyBorder="1" applyProtection="1">
      <protection hidden="1"/>
    </xf>
    <xf numFmtId="0" fontId="63" fillId="0" borderId="63" xfId="0" applyFont="1" applyBorder="1" applyAlignment="1" applyProtection="1">
      <alignment vertical="center"/>
    </xf>
    <xf numFmtId="0" fontId="64" fillId="17" borderId="0" xfId="0" applyFont="1" applyFill="1" applyBorder="1" applyProtection="1">
      <protection hidden="1"/>
    </xf>
    <xf numFmtId="0" fontId="64" fillId="18" borderId="0" xfId="0" applyFont="1" applyFill="1" applyBorder="1" applyProtection="1">
      <protection hidden="1"/>
    </xf>
    <xf numFmtId="0" fontId="0" fillId="0" borderId="64" xfId="0" applyBorder="1" applyProtection="1">
      <protection locked="0"/>
    </xf>
    <xf numFmtId="0" fontId="0" fillId="0" borderId="65" xfId="0" applyBorder="1" applyProtection="1">
      <protection locked="0"/>
    </xf>
    <xf numFmtId="0" fontId="0" fillId="0" borderId="0" xfId="0" applyProtection="1">
      <protection locked="0"/>
    </xf>
    <xf numFmtId="0" fontId="0" fillId="0" borderId="66" xfId="0" applyBorder="1" applyProtection="1">
      <protection locked="0"/>
    </xf>
    <xf numFmtId="0" fontId="0" fillId="0" borderId="67" xfId="0" applyBorder="1" applyProtection="1">
      <protection locked="0"/>
    </xf>
    <xf numFmtId="0" fontId="0" fillId="0" borderId="68" xfId="0" applyBorder="1" applyProtection="1">
      <protection locked="0"/>
    </xf>
    <xf numFmtId="0" fontId="0" fillId="0" borderId="69" xfId="0" applyBorder="1" applyProtection="1">
      <protection locked="0"/>
    </xf>
    <xf numFmtId="0" fontId="64" fillId="19" borderId="70" xfId="0" applyFont="1" applyFill="1" applyBorder="1" applyProtection="1">
      <protection locked="0"/>
    </xf>
    <xf numFmtId="0" fontId="64" fillId="20" borderId="71" xfId="0" applyFont="1" applyFill="1" applyBorder="1" applyProtection="1">
      <protection locked="0"/>
    </xf>
    <xf numFmtId="0" fontId="64" fillId="21" borderId="71" xfId="0" applyFont="1" applyFill="1" applyBorder="1" applyProtection="1">
      <protection locked="0"/>
    </xf>
    <xf numFmtId="0" fontId="64" fillId="4" borderId="71" xfId="0" applyFont="1" applyFill="1" applyBorder="1" applyProtection="1">
      <protection locked="0"/>
    </xf>
    <xf numFmtId="0" fontId="65" fillId="22" borderId="71" xfId="0" applyFont="1" applyFill="1" applyBorder="1" applyProtection="1">
      <protection locked="0"/>
    </xf>
    <xf numFmtId="0" fontId="64" fillId="23" borderId="71" xfId="0" applyFont="1" applyFill="1" applyBorder="1" applyProtection="1">
      <protection locked="0"/>
    </xf>
    <xf numFmtId="0" fontId="64" fillId="24" borderId="71" xfId="0" applyFont="1" applyFill="1" applyBorder="1" applyProtection="1">
      <protection locked="0"/>
    </xf>
    <xf numFmtId="0" fontId="64" fillId="19" borderId="72" xfId="0" applyFont="1" applyFill="1" applyBorder="1" applyProtection="1">
      <protection locked="0"/>
    </xf>
    <xf numFmtId="0" fontId="0" fillId="0" borderId="0" xfId="0" applyProtection="1"/>
    <xf numFmtId="0" fontId="2" fillId="0" borderId="8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43" fillId="0" borderId="9" xfId="1" applyFont="1" applyBorder="1" applyAlignment="1" applyProtection="1">
      <alignment vertical="center"/>
    </xf>
    <xf numFmtId="0" fontId="43" fillId="0" borderId="10" xfId="1" applyFont="1" applyBorder="1" applyAlignment="1" applyProtection="1">
      <alignment vertical="center"/>
    </xf>
    <xf numFmtId="0" fontId="43" fillId="0" borderId="0" xfId="1" applyFont="1" applyAlignment="1" applyProtection="1">
      <alignment horizontal="center" vertical="center"/>
    </xf>
    <xf numFmtId="0" fontId="0" fillId="0" borderId="73" xfId="0" applyBorder="1" applyAlignment="1" applyProtection="1">
      <alignment vertical="center"/>
    </xf>
    <xf numFmtId="0" fontId="0" fillId="25" borderId="0" xfId="0" applyFill="1" applyBorder="1" applyProtection="1"/>
    <xf numFmtId="0" fontId="0" fillId="15" borderId="0" xfId="0" applyFill="1" applyBorder="1" applyProtection="1"/>
    <xf numFmtId="0" fontId="0" fillId="19" borderId="0" xfId="0" applyFill="1" applyBorder="1" applyProtection="1"/>
    <xf numFmtId="0" fontId="0" fillId="18" borderId="0" xfId="0" applyFill="1" applyBorder="1" applyProtection="1"/>
    <xf numFmtId="0" fontId="45" fillId="0" borderId="0" xfId="0" applyFont="1"/>
    <xf numFmtId="0" fontId="0" fillId="26" borderId="0" xfId="0" applyFont="1" applyFill="1" applyBorder="1" applyProtection="1">
      <protection hidden="1"/>
    </xf>
    <xf numFmtId="0" fontId="0" fillId="27" borderId="0" xfId="0" applyFont="1" applyFill="1" applyBorder="1" applyProtection="1">
      <protection hidden="1"/>
    </xf>
    <xf numFmtId="0" fontId="0" fillId="26" borderId="21" xfId="0" applyFont="1" applyFill="1" applyBorder="1" applyProtection="1">
      <protection hidden="1"/>
    </xf>
    <xf numFmtId="0" fontId="0" fillId="26" borderId="62" xfId="0" applyFont="1" applyFill="1" applyBorder="1" applyProtection="1">
      <protection hidden="1"/>
    </xf>
    <xf numFmtId="0" fontId="0" fillId="16" borderId="0" xfId="0" applyFont="1" applyFill="1" applyBorder="1" applyProtection="1">
      <protection hidden="1"/>
    </xf>
    <xf numFmtId="0" fontId="0" fillId="16" borderId="21" xfId="0" applyFont="1" applyFill="1" applyBorder="1" applyProtection="1">
      <protection hidden="1"/>
    </xf>
    <xf numFmtId="0" fontId="0" fillId="16" borderId="62" xfId="0" applyFont="1" applyFill="1" applyBorder="1" applyProtection="1">
      <protection hidden="1"/>
    </xf>
    <xf numFmtId="0" fontId="3" fillId="16" borderId="0" xfId="1" applyFill="1" applyBorder="1" applyAlignment="1" applyProtection="1">
      <protection locked="0" hidden="1"/>
    </xf>
    <xf numFmtId="14" fontId="24" fillId="0" borderId="16" xfId="0" applyNumberFormat="1" applyFont="1" applyFill="1" applyBorder="1" applyAlignment="1" applyProtection="1">
      <alignment horizontal="center"/>
      <protection locked="0" hidden="1"/>
    </xf>
    <xf numFmtId="14" fontId="24" fillId="0" borderId="17" xfId="0" applyNumberFormat="1" applyFont="1" applyFill="1" applyBorder="1" applyAlignment="1" applyProtection="1">
      <alignment horizontal="center"/>
      <protection locked="0" hidden="1"/>
    </xf>
    <xf numFmtId="14" fontId="24" fillId="0" borderId="15" xfId="0" applyNumberFormat="1" applyFont="1" applyFill="1" applyBorder="1" applyAlignment="1" applyProtection="1">
      <alignment horizontal="center"/>
      <protection locked="0" hidden="1"/>
    </xf>
    <xf numFmtId="0" fontId="4" fillId="16" borderId="0" xfId="0" applyFont="1" applyFill="1" applyBorder="1" applyAlignment="1" applyProtection="1">
      <protection hidden="1"/>
    </xf>
    <xf numFmtId="0" fontId="6" fillId="5" borderId="42" xfId="0" applyFont="1" applyFill="1" applyBorder="1" applyProtection="1">
      <protection hidden="1"/>
    </xf>
    <xf numFmtId="164" fontId="5" fillId="5" borderId="42" xfId="0" applyNumberFormat="1" applyFont="1" applyFill="1" applyBorder="1" applyProtection="1">
      <protection hidden="1"/>
    </xf>
    <xf numFmtId="0" fontId="27" fillId="5" borderId="42" xfId="0" applyFont="1" applyFill="1" applyBorder="1" applyProtection="1">
      <protection hidden="1"/>
    </xf>
    <xf numFmtId="0" fontId="60" fillId="5" borderId="42" xfId="0" applyFont="1" applyFill="1" applyBorder="1" applyProtection="1">
      <protection hidden="1"/>
    </xf>
    <xf numFmtId="0" fontId="5" fillId="5" borderId="42" xfId="0" applyFont="1" applyFill="1" applyBorder="1" applyProtection="1">
      <protection hidden="1"/>
    </xf>
    <xf numFmtId="0" fontId="7" fillId="5" borderId="42" xfId="0" applyFont="1" applyFill="1" applyBorder="1" applyProtection="1">
      <protection hidden="1"/>
    </xf>
    <xf numFmtId="0" fontId="7" fillId="5" borderId="45" xfId="0" applyFont="1" applyFill="1" applyBorder="1" applyProtection="1">
      <protection hidden="1"/>
    </xf>
    <xf numFmtId="0" fontId="7" fillId="7" borderId="38" xfId="0" applyFont="1" applyFill="1" applyBorder="1" applyProtection="1">
      <protection hidden="1"/>
    </xf>
    <xf numFmtId="0" fontId="52" fillId="6" borderId="35" xfId="0" applyFont="1" applyFill="1" applyBorder="1" applyProtection="1">
      <protection hidden="1"/>
    </xf>
    <xf numFmtId="0" fontId="7" fillId="4" borderId="20" xfId="0" applyFont="1" applyFill="1" applyBorder="1" applyProtection="1">
      <protection hidden="1"/>
    </xf>
    <xf numFmtId="0" fontId="7" fillId="7" borderId="37" xfId="0" applyFont="1" applyFill="1" applyBorder="1" applyProtection="1">
      <protection hidden="1"/>
    </xf>
    <xf numFmtId="0" fontId="7" fillId="8" borderId="74" xfId="0" applyFont="1" applyFill="1" applyBorder="1" applyProtection="1">
      <protection hidden="1"/>
    </xf>
    <xf numFmtId="0" fontId="2" fillId="0" borderId="75" xfId="0" applyFont="1" applyFill="1" applyBorder="1" applyProtection="1">
      <protection hidden="1"/>
    </xf>
    <xf numFmtId="0" fontId="66" fillId="16" borderId="0" xfId="1" applyFont="1" applyFill="1" applyBorder="1" applyAlignment="1" applyProtection="1">
      <alignment horizontal="center" vertical="center"/>
      <protection locked="0" hidden="1"/>
    </xf>
    <xf numFmtId="0" fontId="0" fillId="28" borderId="76" xfId="0" applyFont="1" applyFill="1" applyBorder="1" applyProtection="1">
      <protection hidden="1"/>
    </xf>
    <xf numFmtId="0" fontId="2" fillId="28" borderId="76" xfId="0" applyFont="1" applyFill="1" applyBorder="1" applyProtection="1">
      <protection hidden="1"/>
    </xf>
    <xf numFmtId="0" fontId="1" fillId="23" borderId="76" xfId="0" applyFont="1" applyFill="1" applyBorder="1" applyProtection="1">
      <protection hidden="1"/>
    </xf>
    <xf numFmtId="0" fontId="0" fillId="29" borderId="76" xfId="0" applyFont="1" applyFill="1" applyBorder="1" applyProtection="1">
      <protection hidden="1"/>
    </xf>
    <xf numFmtId="0" fontId="0" fillId="26" borderId="0" xfId="0" applyFont="1" applyFill="1" applyBorder="1" applyAlignment="1" applyProtection="1">
      <alignment vertical="top"/>
      <protection hidden="1"/>
    </xf>
    <xf numFmtId="0" fontId="0" fillId="26" borderId="0" xfId="0" applyFont="1" applyFill="1" applyBorder="1"/>
    <xf numFmtId="0" fontId="3" fillId="26" borderId="0" xfId="1" applyNumberFormat="1" applyFont="1" applyFill="1" applyBorder="1" applyAlignment="1" applyProtection="1">
      <protection hidden="1"/>
    </xf>
    <xf numFmtId="0" fontId="0" fillId="26" borderId="0" xfId="0" applyFont="1" applyFill="1" applyBorder="1" applyAlignment="1" applyProtection="1">
      <alignment horizontal="left"/>
      <protection hidden="1"/>
    </xf>
    <xf numFmtId="0" fontId="4" fillId="26" borderId="0" xfId="0" applyFont="1" applyFill="1" applyBorder="1" applyAlignment="1" applyProtection="1">
      <alignment horizontal="right"/>
      <protection hidden="1"/>
    </xf>
    <xf numFmtId="0" fontId="35" fillId="26" borderId="0" xfId="0" applyFont="1" applyFill="1" applyBorder="1" applyProtection="1">
      <protection hidden="1"/>
    </xf>
    <xf numFmtId="0" fontId="13" fillId="26" borderId="0" xfId="0" applyFont="1" applyFill="1" applyBorder="1" applyAlignment="1" applyProtection="1">
      <alignment horizontal="center"/>
      <protection hidden="1"/>
    </xf>
    <xf numFmtId="0" fontId="67" fillId="30" borderId="76" xfId="0" applyFont="1" applyFill="1" applyBorder="1" applyAlignment="1" applyProtection="1">
      <alignment horizontal="center" vertical="top"/>
      <protection hidden="1"/>
    </xf>
    <xf numFmtId="0" fontId="45" fillId="31" borderId="0" xfId="0" applyFont="1" applyFill="1"/>
    <xf numFmtId="0" fontId="68" fillId="32" borderId="0" xfId="0" applyFont="1" applyFill="1" applyAlignment="1" applyProtection="1">
      <alignment horizontal="left"/>
      <protection hidden="1"/>
    </xf>
    <xf numFmtId="0" fontId="69" fillId="32" borderId="0" xfId="0" applyFont="1" applyFill="1" applyAlignment="1" applyProtection="1">
      <alignment horizontal="left"/>
      <protection hidden="1"/>
    </xf>
    <xf numFmtId="0" fontId="70" fillId="33" borderId="0" xfId="0" applyFont="1" applyFill="1" applyAlignment="1" applyProtection="1">
      <alignment horizontal="left"/>
      <protection hidden="1"/>
    </xf>
    <xf numFmtId="0" fontId="71" fillId="32" borderId="0" xfId="0" applyFont="1" applyFill="1" applyAlignment="1" applyProtection="1">
      <alignment horizontal="left"/>
      <protection hidden="1"/>
    </xf>
    <xf numFmtId="0" fontId="0" fillId="32" borderId="0" xfId="0" applyFill="1" applyAlignment="1" applyProtection="1">
      <alignment horizontal="left"/>
      <protection hidden="1"/>
    </xf>
    <xf numFmtId="0" fontId="0" fillId="31" borderId="0" xfId="0" applyFill="1"/>
    <xf numFmtId="0" fontId="0" fillId="5" borderId="0" xfId="0" applyFill="1" applyAlignment="1">
      <alignment horizontal="left"/>
    </xf>
    <xf numFmtId="0" fontId="0" fillId="31" borderId="0" xfId="0" applyFill="1" applyProtection="1">
      <protection hidden="1"/>
    </xf>
    <xf numFmtId="0" fontId="72" fillId="31" borderId="0" xfId="0" applyFont="1" applyFill="1" applyAlignment="1" applyProtection="1">
      <alignment horizontal="center"/>
      <protection hidden="1"/>
    </xf>
    <xf numFmtId="0" fontId="3" fillId="22" borderId="0" xfId="1" applyFill="1" applyAlignment="1">
      <alignment horizontal="center" vertical="center"/>
    </xf>
    <xf numFmtId="0" fontId="73" fillId="0" borderId="23" xfId="0" applyFont="1" applyFill="1" applyBorder="1" applyAlignment="1" applyProtection="1">
      <alignment horizontal="left"/>
      <protection hidden="1"/>
    </xf>
    <xf numFmtId="0" fontId="73" fillId="0" borderId="24" xfId="0" applyFont="1" applyFill="1" applyBorder="1" applyProtection="1">
      <protection hidden="1"/>
    </xf>
    <xf numFmtId="0" fontId="74" fillId="0" borderId="0" xfId="0" applyFont="1"/>
    <xf numFmtId="0" fontId="73" fillId="0" borderId="15" xfId="0" applyFont="1" applyFill="1" applyBorder="1" applyProtection="1">
      <protection hidden="1"/>
    </xf>
    <xf numFmtId="0" fontId="73" fillId="0" borderId="16" xfId="0" applyFont="1" applyFill="1" applyBorder="1" applyProtection="1">
      <protection hidden="1"/>
    </xf>
    <xf numFmtId="0" fontId="73" fillId="0" borderId="13" xfId="0" applyFont="1" applyFill="1" applyBorder="1" applyProtection="1">
      <protection hidden="1"/>
    </xf>
    <xf numFmtId="0" fontId="73" fillId="0" borderId="17" xfId="0" applyFont="1" applyFill="1" applyBorder="1" applyProtection="1">
      <protection hidden="1"/>
    </xf>
    <xf numFmtId="0" fontId="50" fillId="0" borderId="0" xfId="0" applyFont="1" applyFill="1" applyBorder="1" applyProtection="1">
      <protection hidden="1"/>
    </xf>
    <xf numFmtId="0" fontId="3" fillId="0" borderId="0" xfId="1" applyFill="1" applyBorder="1" applyProtection="1">
      <protection hidden="1"/>
    </xf>
    <xf numFmtId="0" fontId="60" fillId="16" borderId="0" xfId="0" applyFont="1" applyFill="1" applyBorder="1" applyProtection="1">
      <protection hidden="1"/>
    </xf>
    <xf numFmtId="0" fontId="90" fillId="16" borderId="0" xfId="0" applyFont="1" applyFill="1" applyBorder="1" applyProtection="1">
      <protection hidden="1"/>
    </xf>
    <xf numFmtId="0" fontId="60" fillId="16" borderId="21" xfId="0" applyFont="1" applyFill="1" applyBorder="1" applyProtection="1">
      <protection hidden="1"/>
    </xf>
    <xf numFmtId="0" fontId="64" fillId="16" borderId="62" xfId="0" applyFont="1" applyFill="1" applyBorder="1" applyProtection="1">
      <protection hidden="1"/>
    </xf>
    <xf numFmtId="0" fontId="60" fillId="16" borderId="62" xfId="0" applyFont="1" applyFill="1" applyBorder="1" applyProtection="1">
      <protection hidden="1"/>
    </xf>
    <xf numFmtId="0" fontId="91" fillId="16" borderId="0" xfId="0" applyFont="1" applyFill="1" applyBorder="1" applyProtection="1">
      <protection hidden="1"/>
    </xf>
    <xf numFmtId="0" fontId="64" fillId="16" borderId="0" xfId="0" applyFont="1" applyFill="1" applyBorder="1" applyAlignment="1" applyProtection="1">
      <alignment vertical="center"/>
      <protection hidden="1"/>
    </xf>
    <xf numFmtId="0" fontId="92" fillId="0" borderId="0" xfId="2"/>
    <xf numFmtId="0" fontId="99" fillId="0" borderId="0" xfId="2" applyFont="1"/>
    <xf numFmtId="0" fontId="100" fillId="0" borderId="0" xfId="2" applyFont="1"/>
    <xf numFmtId="0" fontId="100" fillId="0" borderId="0" xfId="2" applyFont="1" applyAlignment="1">
      <alignment vertical="top" wrapText="1"/>
    </xf>
    <xf numFmtId="0" fontId="61" fillId="0" borderId="99" xfId="2" applyFont="1" applyBorder="1"/>
    <xf numFmtId="0" fontId="61" fillId="38" borderId="102" xfId="0" applyFont="1" applyFill="1" applyBorder="1" applyAlignment="1">
      <alignment horizontal="center" vertical="center"/>
    </xf>
    <xf numFmtId="0" fontId="61" fillId="38" borderId="103" xfId="0" applyFont="1" applyFill="1" applyBorder="1" applyAlignment="1">
      <alignment horizontal="center" vertical="center"/>
    </xf>
    <xf numFmtId="0" fontId="61" fillId="38" borderId="104" xfId="0" applyFont="1" applyFill="1" applyBorder="1" applyAlignment="1">
      <alignment horizontal="center" vertical="center"/>
    </xf>
    <xf numFmtId="0" fontId="61" fillId="38" borderId="105" xfId="0" applyFont="1" applyFill="1" applyBorder="1" applyAlignment="1">
      <alignment horizontal="center" vertical="center"/>
    </xf>
    <xf numFmtId="0" fontId="61" fillId="38" borderId="0" xfId="0" applyFont="1" applyFill="1" applyAlignment="1">
      <alignment horizontal="center" vertical="center"/>
    </xf>
    <xf numFmtId="0" fontId="61" fillId="38" borderId="106" xfId="0" applyFont="1" applyFill="1" applyBorder="1" applyAlignment="1">
      <alignment horizontal="center" vertical="center"/>
    </xf>
    <xf numFmtId="0" fontId="0" fillId="39" borderId="105" xfId="0" applyFont="1" applyFill="1" applyBorder="1" applyAlignment="1">
      <alignment horizontal="center" vertical="center"/>
    </xf>
    <xf numFmtId="0" fontId="0" fillId="39" borderId="0" xfId="0" applyFont="1" applyFill="1" applyAlignment="1">
      <alignment horizontal="center" vertical="center"/>
    </xf>
    <xf numFmtId="0" fontId="0" fillId="39" borderId="106" xfId="0" applyFont="1" applyFill="1" applyBorder="1" applyAlignment="1">
      <alignment horizontal="center" vertical="center"/>
    </xf>
    <xf numFmtId="0" fontId="0" fillId="39" borderId="107" xfId="0" applyFont="1" applyFill="1" applyBorder="1" applyAlignment="1">
      <alignment horizontal="center" vertical="center"/>
    </xf>
    <xf numFmtId="0" fontId="0" fillId="39" borderId="99" xfId="0" applyFont="1" applyFill="1" applyBorder="1" applyAlignment="1">
      <alignment horizontal="center" vertical="center"/>
    </xf>
    <xf numFmtId="0" fontId="0" fillId="39" borderId="97" xfId="0" applyFont="1" applyFill="1" applyBorder="1" applyAlignment="1">
      <alignment horizontal="center" vertical="center"/>
    </xf>
    <xf numFmtId="0" fontId="93" fillId="16" borderId="0" xfId="2" applyFont="1" applyFill="1" applyAlignment="1">
      <alignment horizontal="center"/>
    </xf>
    <xf numFmtId="0" fontId="92" fillId="16" borderId="0" xfId="2" applyFill="1"/>
    <xf numFmtId="0" fontId="94" fillId="16" borderId="0" xfId="2" applyFont="1" applyFill="1"/>
    <xf numFmtId="0" fontId="94" fillId="16" borderId="0" xfId="2" applyFont="1" applyFill="1" applyAlignment="1">
      <alignment wrapText="1"/>
    </xf>
    <xf numFmtId="0" fontId="94" fillId="16" borderId="94" xfId="2" applyFont="1" applyFill="1" applyBorder="1" applyAlignment="1">
      <alignment horizontal="left" vertical="top" wrapText="1"/>
    </xf>
    <xf numFmtId="0" fontId="94" fillId="16" borderId="95" xfId="2" applyFont="1" applyFill="1" applyBorder="1" applyAlignment="1">
      <alignment vertical="top" wrapText="1"/>
    </xf>
    <xf numFmtId="0" fontId="94" fillId="16" borderId="96" xfId="2" applyFont="1" applyFill="1" applyBorder="1" applyAlignment="1">
      <alignment horizontal="left" vertical="top" wrapText="1"/>
    </xf>
    <xf numFmtId="0" fontId="94" fillId="16" borderId="97" xfId="2" applyFont="1" applyFill="1" applyBorder="1" applyAlignment="1">
      <alignment vertical="top" wrapText="1"/>
    </xf>
    <xf numFmtId="0" fontId="96" fillId="16" borderId="0" xfId="2" applyFont="1" applyFill="1"/>
    <xf numFmtId="0" fontId="94" fillId="16" borderId="0" xfId="2" applyFont="1" applyFill="1" applyAlignment="1">
      <alignment horizontal="left" wrapText="1"/>
    </xf>
    <xf numFmtId="0" fontId="94" fillId="16" borderId="0" xfId="2" applyFont="1" applyFill="1" applyAlignment="1">
      <alignment horizontal="left" vertical="center" wrapText="1" indent="1"/>
    </xf>
    <xf numFmtId="0" fontId="94" fillId="16" borderId="0" xfId="2" applyFont="1" applyFill="1" applyAlignment="1">
      <alignment horizontal="left"/>
    </xf>
    <xf numFmtId="0" fontId="108" fillId="16" borderId="0" xfId="2" applyFont="1" applyFill="1" applyAlignment="1">
      <alignment horizontal="left" wrapText="1"/>
    </xf>
    <xf numFmtId="0" fontId="109" fillId="16" borderId="0" xfId="2" applyFont="1" applyFill="1"/>
    <xf numFmtId="0" fontId="76" fillId="26" borderId="0" xfId="0" applyFont="1" applyFill="1" applyBorder="1" applyAlignment="1" applyProtection="1">
      <alignment vertical="top" wrapText="1"/>
      <protection hidden="1"/>
    </xf>
    <xf numFmtId="0" fontId="100" fillId="36" borderId="98" xfId="2" applyFont="1" applyFill="1" applyBorder="1" applyProtection="1">
      <protection locked="0"/>
    </xf>
    <xf numFmtId="0" fontId="100" fillId="37" borderId="98" xfId="2" applyFont="1" applyFill="1" applyBorder="1" applyProtection="1">
      <protection locked="0"/>
    </xf>
    <xf numFmtId="0" fontId="98" fillId="37" borderId="98" xfId="2" applyFont="1" applyFill="1" applyBorder="1" applyProtection="1">
      <protection locked="0"/>
    </xf>
    <xf numFmtId="0" fontId="102" fillId="16" borderId="0" xfId="2" applyFont="1" applyFill="1" applyAlignment="1">
      <alignment horizontal="center"/>
    </xf>
    <xf numFmtId="0" fontId="100" fillId="16" borderId="0" xfId="2" applyFont="1" applyFill="1"/>
    <xf numFmtId="0" fontId="100" fillId="16" borderId="0" xfId="0" applyFont="1" applyFill="1"/>
    <xf numFmtId="0" fontId="0" fillId="16" borderId="0" xfId="0" applyFill="1"/>
    <xf numFmtId="0" fontId="61" fillId="16" borderId="100" xfId="0" applyFont="1" applyFill="1" applyBorder="1" applyAlignment="1">
      <alignment horizontal="center"/>
    </xf>
    <xf numFmtId="0" fontId="61" fillId="16" borderId="0" xfId="2" applyFont="1" applyFill="1" applyAlignment="1">
      <alignment horizontal="center"/>
    </xf>
    <xf numFmtId="0" fontId="101" fillId="16" borderId="0" xfId="2" applyFont="1" applyFill="1"/>
    <xf numFmtId="0" fontId="100" fillId="16" borderId="0" xfId="2" applyFont="1" applyFill="1" applyAlignment="1">
      <alignment horizontal="center" vertical="top" wrapText="1"/>
    </xf>
    <xf numFmtId="0" fontId="100" fillId="16" borderId="0" xfId="2" applyFont="1" applyFill="1" applyAlignment="1">
      <alignment vertical="top" wrapText="1"/>
    </xf>
    <xf numFmtId="0" fontId="99" fillId="16" borderId="0" xfId="2" applyFont="1" applyFill="1" applyAlignment="1">
      <alignment horizontal="center"/>
    </xf>
    <xf numFmtId="0" fontId="103" fillId="16" borderId="0" xfId="2" applyFont="1" applyFill="1"/>
    <xf numFmtId="0" fontId="0" fillId="40" borderId="108" xfId="0" applyFont="1" applyFill="1" applyBorder="1" applyAlignment="1">
      <alignment horizontal="center" vertical="center"/>
    </xf>
    <xf numFmtId="0" fontId="0" fillId="40" borderId="109" xfId="0" applyFont="1" applyFill="1" applyBorder="1" applyAlignment="1">
      <alignment horizontal="center" vertical="center"/>
    </xf>
    <xf numFmtId="0" fontId="0" fillId="40" borderId="110" xfId="0" applyFont="1" applyFill="1" applyBorder="1" applyAlignment="1">
      <alignment horizontal="center" vertical="center"/>
    </xf>
    <xf numFmtId="0" fontId="0" fillId="41" borderId="111" xfId="0" applyFont="1" applyFill="1" applyBorder="1" applyAlignment="1">
      <alignment horizontal="center" vertical="center"/>
    </xf>
    <xf numFmtId="0" fontId="0" fillId="41" borderId="112" xfId="0" applyFont="1" applyFill="1" applyBorder="1" applyAlignment="1">
      <alignment horizontal="center" vertical="center"/>
    </xf>
    <xf numFmtId="0" fontId="0" fillId="41" borderId="113" xfId="0" applyFont="1" applyFill="1" applyBorder="1" applyAlignment="1">
      <alignment horizontal="center" vertical="center"/>
    </xf>
    <xf numFmtId="0" fontId="76" fillId="26" borderId="0" xfId="0" applyFont="1" applyFill="1" applyBorder="1" applyAlignment="1" applyProtection="1">
      <alignment horizontal="center" vertical="top" wrapText="1"/>
      <protection hidden="1"/>
    </xf>
    <xf numFmtId="0" fontId="60" fillId="16" borderId="0" xfId="0" applyFont="1" applyFill="1" applyBorder="1" applyAlignment="1" applyProtection="1">
      <alignment horizontal="center"/>
      <protection hidden="1"/>
    </xf>
    <xf numFmtId="0" fontId="58" fillId="0" borderId="77" xfId="0" applyFont="1" applyFill="1" applyBorder="1" applyAlignment="1" applyProtection="1">
      <alignment vertical="center"/>
      <protection hidden="1"/>
    </xf>
    <xf numFmtId="0" fontId="58" fillId="0" borderId="78" xfId="0" applyFont="1" applyFill="1" applyBorder="1" applyAlignment="1" applyProtection="1">
      <alignment vertical="center"/>
      <protection hidden="1"/>
    </xf>
    <xf numFmtId="0" fontId="51" fillId="0" borderId="81" xfId="0" applyFont="1" applyFill="1" applyBorder="1" applyAlignment="1" applyProtection="1">
      <protection hidden="1"/>
    </xf>
    <xf numFmtId="0" fontId="51" fillId="0" borderId="82" xfId="0" applyFont="1" applyFill="1" applyBorder="1" applyAlignment="1" applyProtection="1">
      <protection hidden="1"/>
    </xf>
    <xf numFmtId="0" fontId="12" fillId="26" borderId="0" xfId="1" applyNumberFormat="1" applyFont="1" applyFill="1" applyBorder="1" applyAlignment="1" applyProtection="1">
      <alignment horizontal="center"/>
      <protection hidden="1"/>
    </xf>
    <xf numFmtId="0" fontId="80" fillId="26" borderId="0" xfId="1" applyNumberFormat="1" applyFont="1" applyFill="1" applyBorder="1" applyAlignment="1" applyProtection="1">
      <protection hidden="1"/>
    </xf>
    <xf numFmtId="0" fontId="59" fillId="0" borderId="0" xfId="0" applyFont="1" applyFill="1" applyBorder="1" applyAlignment="1" applyProtection="1">
      <protection hidden="1"/>
    </xf>
    <xf numFmtId="0" fontId="59" fillId="0" borderId="37" xfId="0" applyFont="1" applyFill="1" applyBorder="1" applyAlignment="1" applyProtection="1">
      <protection hidden="1"/>
    </xf>
    <xf numFmtId="0" fontId="54" fillId="0" borderId="83" xfId="0" applyFont="1" applyFill="1" applyBorder="1" applyAlignment="1" applyProtection="1">
      <alignment vertical="center"/>
      <protection hidden="1"/>
    </xf>
    <xf numFmtId="0" fontId="54" fillId="0" borderId="84" xfId="0" applyFont="1" applyFill="1" applyBorder="1" applyAlignment="1" applyProtection="1">
      <alignment vertical="center"/>
      <protection hidden="1"/>
    </xf>
    <xf numFmtId="0" fontId="54" fillId="8" borderId="25" xfId="0" applyFont="1" applyFill="1" applyBorder="1" applyAlignment="1" applyProtection="1">
      <alignment horizontal="center"/>
      <protection hidden="1"/>
    </xf>
    <xf numFmtId="0" fontId="6" fillId="8" borderId="25" xfId="0" applyFont="1" applyFill="1" applyBorder="1" applyAlignment="1" applyProtection="1">
      <alignment horizontal="left"/>
      <protection hidden="1"/>
    </xf>
    <xf numFmtId="0" fontId="2" fillId="10" borderId="21" xfId="0" applyFont="1" applyFill="1" applyBorder="1" applyAlignment="1" applyProtection="1">
      <alignment horizontal="center"/>
      <protection hidden="1"/>
    </xf>
    <xf numFmtId="0" fontId="54" fillId="0" borderId="85" xfId="0" applyFont="1" applyFill="1" applyBorder="1" applyAlignment="1" applyProtection="1">
      <protection hidden="1"/>
    </xf>
    <xf numFmtId="0" fontId="54" fillId="0" borderId="86" xfId="0" applyFont="1" applyFill="1" applyBorder="1" applyAlignment="1" applyProtection="1">
      <protection hidden="1"/>
    </xf>
    <xf numFmtId="0" fontId="59" fillId="7" borderId="0" xfId="0" applyFont="1" applyFill="1" applyBorder="1" applyAlignment="1" applyProtection="1">
      <alignment horizontal="center"/>
      <protection hidden="1"/>
    </xf>
    <xf numFmtId="0" fontId="51" fillId="6" borderId="0" xfId="0" applyFont="1" applyFill="1" applyBorder="1" applyAlignment="1" applyProtection="1">
      <alignment horizontal="center"/>
      <protection hidden="1"/>
    </xf>
    <xf numFmtId="0" fontId="51" fillId="6" borderId="0" xfId="0" applyFont="1" applyFill="1" applyBorder="1" applyAlignment="1" applyProtection="1">
      <alignment horizontal="left"/>
      <protection hidden="1"/>
    </xf>
    <xf numFmtId="0" fontId="6" fillId="7" borderId="0" xfId="0" applyFont="1" applyFill="1" applyBorder="1" applyAlignment="1" applyProtection="1">
      <alignment horizontal="left"/>
      <protection hidden="1"/>
    </xf>
    <xf numFmtId="0" fontId="89" fillId="0" borderId="0" xfId="0" applyFont="1" applyFill="1" applyAlignment="1">
      <alignment horizontal="center" vertical="center"/>
    </xf>
    <xf numFmtId="0" fontId="64" fillId="16" borderId="0" xfId="1" applyNumberFormat="1" applyFont="1" applyFill="1" applyBorder="1" applyAlignment="1" applyProtection="1">
      <alignment horizontal="center" vertical="top"/>
      <protection hidden="1"/>
    </xf>
    <xf numFmtId="0" fontId="78" fillId="4" borderId="0" xfId="0" applyFont="1" applyFill="1" applyBorder="1" applyAlignment="1" applyProtection="1">
      <alignment horizontal="center"/>
      <protection hidden="1"/>
    </xf>
    <xf numFmtId="0" fontId="5" fillId="4" borderId="0" xfId="0" applyFont="1" applyFill="1" applyBorder="1" applyAlignment="1" applyProtection="1">
      <alignment horizontal="left"/>
      <protection hidden="1"/>
    </xf>
    <xf numFmtId="0" fontId="0" fillId="0" borderId="0" xfId="0" applyFill="1"/>
    <xf numFmtId="0" fontId="79" fillId="16" borderId="21" xfId="0" applyFont="1" applyFill="1" applyBorder="1" applyAlignment="1" applyProtection="1">
      <alignment horizontal="center" vertical="center"/>
      <protection hidden="1"/>
    </xf>
    <xf numFmtId="0" fontId="60" fillId="16" borderId="0" xfId="0" applyFont="1" applyFill="1"/>
    <xf numFmtId="0" fontId="6" fillId="5" borderId="42" xfId="0" applyFont="1" applyFill="1" applyBorder="1" applyAlignment="1" applyProtection="1">
      <alignment horizontal="left"/>
      <protection hidden="1"/>
    </xf>
    <xf numFmtId="0" fontId="75" fillId="26" borderId="0" xfId="0" applyFont="1" applyFill="1" applyBorder="1" applyAlignment="1" applyProtection="1">
      <protection hidden="1"/>
    </xf>
    <xf numFmtId="0" fontId="59" fillId="0" borderId="79" xfId="0" applyFont="1" applyFill="1" applyBorder="1" applyAlignment="1" applyProtection="1">
      <protection hidden="1"/>
    </xf>
    <xf numFmtId="0" fontId="59" fillId="0" borderId="80" xfId="0" applyFont="1" applyFill="1" applyBorder="1" applyAlignment="1" applyProtection="1">
      <protection hidden="1"/>
    </xf>
    <xf numFmtId="0" fontId="64" fillId="16" borderId="21" xfId="0" applyFont="1" applyFill="1" applyBorder="1" applyAlignment="1" applyProtection="1">
      <alignment horizontal="center"/>
      <protection hidden="1"/>
    </xf>
    <xf numFmtId="0" fontId="77" fillId="4" borderId="0" xfId="0" applyFont="1" applyFill="1" applyBorder="1" applyAlignment="1" applyProtection="1">
      <alignment horizontal="center"/>
      <protection hidden="1"/>
    </xf>
    <xf numFmtId="0" fontId="54" fillId="5" borderId="32" xfId="0" applyFont="1" applyFill="1" applyBorder="1" applyAlignment="1" applyProtection="1">
      <alignment horizontal="center"/>
      <protection hidden="1"/>
    </xf>
    <xf numFmtId="0" fontId="54" fillId="5" borderId="42" xfId="0" applyFont="1" applyFill="1" applyBorder="1" applyAlignment="1" applyProtection="1">
      <alignment horizontal="center"/>
      <protection hidden="1"/>
    </xf>
    <xf numFmtId="0" fontId="51" fillId="6" borderId="57" xfId="0" applyFont="1" applyFill="1" applyBorder="1" applyAlignment="1" applyProtection="1">
      <alignment horizontal="center"/>
      <protection hidden="1"/>
    </xf>
    <xf numFmtId="0" fontId="51" fillId="6" borderId="33" xfId="0" applyFont="1" applyFill="1" applyBorder="1" applyAlignment="1" applyProtection="1">
      <alignment horizontal="center"/>
      <protection hidden="1"/>
    </xf>
    <xf numFmtId="0" fontId="58" fillId="0" borderId="77" xfId="0" applyFont="1" applyFill="1" applyBorder="1" applyAlignment="1" applyProtection="1">
      <protection hidden="1"/>
    </xf>
    <xf numFmtId="0" fontId="58" fillId="0" borderId="78" xfId="0" applyFont="1" applyFill="1" applyBorder="1" applyAlignment="1" applyProtection="1">
      <protection hidden="1"/>
    </xf>
    <xf numFmtId="0" fontId="106" fillId="38" borderId="101" xfId="0" applyFont="1" applyFill="1" applyBorder="1" applyAlignment="1">
      <alignment horizontal="center" vertical="center"/>
    </xf>
    <xf numFmtId="0" fontId="104" fillId="0" borderId="95" xfId="0" applyFont="1" applyBorder="1"/>
    <xf numFmtId="0" fontId="107" fillId="39" borderId="101" xfId="0" applyFont="1" applyFill="1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/>
      <protection hidden="1"/>
    </xf>
    <xf numFmtId="0" fontId="17" fillId="2" borderId="0" xfId="0" applyFont="1" applyFill="1" applyBorder="1" applyAlignment="1" applyProtection="1">
      <alignment horizontal="center"/>
      <protection hidden="1"/>
    </xf>
    <xf numFmtId="0" fontId="46" fillId="26" borderId="11" xfId="1" applyFont="1" applyFill="1" applyBorder="1" applyAlignment="1" applyProtection="1">
      <alignment horizontal="left" vertical="center"/>
    </xf>
    <xf numFmtId="0" fontId="47" fillId="0" borderId="87" xfId="1" applyFont="1" applyBorder="1" applyAlignment="1" applyProtection="1">
      <alignment horizontal="center" vertical="center"/>
    </xf>
    <xf numFmtId="0" fontId="47" fillId="0" borderId="63" xfId="1" applyFont="1" applyBorder="1" applyAlignment="1" applyProtection="1">
      <alignment horizontal="center" vertical="center"/>
    </xf>
    <xf numFmtId="0" fontId="0" fillId="0" borderId="73" xfId="0" applyBorder="1" applyAlignment="1" applyProtection="1">
      <alignment horizontal="center" vertical="center"/>
    </xf>
    <xf numFmtId="0" fontId="81" fillId="0" borderId="88" xfId="0" applyFont="1" applyBorder="1" applyAlignment="1" applyProtection="1">
      <alignment horizontal="left" vertical="center" wrapText="1"/>
    </xf>
    <xf numFmtId="0" fontId="81" fillId="0" borderId="89" xfId="0" applyFont="1" applyBorder="1" applyAlignment="1" applyProtection="1">
      <alignment horizontal="left" vertical="center" wrapText="1"/>
    </xf>
    <xf numFmtId="0" fontId="81" fillId="0" borderId="90" xfId="0" applyFont="1" applyBorder="1" applyAlignment="1" applyProtection="1">
      <alignment horizontal="left" vertical="center" wrapText="1"/>
    </xf>
    <xf numFmtId="0" fontId="81" fillId="0" borderId="91" xfId="0" applyFont="1" applyBorder="1" applyAlignment="1" applyProtection="1">
      <alignment horizontal="left" vertical="center" wrapText="1"/>
    </xf>
    <xf numFmtId="0" fontId="81" fillId="0" borderId="92" xfId="0" applyFont="1" applyBorder="1" applyAlignment="1" applyProtection="1">
      <alignment horizontal="left" vertical="center" wrapText="1"/>
    </xf>
    <xf numFmtId="0" fontId="81" fillId="0" borderId="93" xfId="0" applyFont="1" applyBorder="1" applyAlignment="1" applyProtection="1">
      <alignment horizontal="left" vertical="center" wrapText="1"/>
    </xf>
    <xf numFmtId="0" fontId="44" fillId="26" borderId="12" xfId="0" applyFont="1" applyFill="1" applyBorder="1" applyAlignment="1" applyProtection="1">
      <alignment horizontal="center" vertical="center"/>
    </xf>
    <xf numFmtId="0" fontId="44" fillId="26" borderId="11" xfId="0" applyFont="1" applyFill="1" applyBorder="1" applyAlignment="1" applyProtection="1">
      <alignment horizontal="center" vertical="center"/>
    </xf>
    <xf numFmtId="0" fontId="64" fillId="0" borderId="8" xfId="0" applyFont="1" applyBorder="1" applyAlignment="1" applyProtection="1">
      <alignment horizontal="center" vertical="center"/>
    </xf>
    <xf numFmtId="0" fontId="64" fillId="0" borderId="0" xfId="0" applyFont="1" applyBorder="1" applyAlignment="1" applyProtection="1">
      <alignment horizontal="center" vertical="center"/>
    </xf>
    <xf numFmtId="0" fontId="82" fillId="5" borderId="0" xfId="1" applyFont="1" applyFill="1" applyBorder="1" applyAlignment="1" applyProtection="1">
      <alignment horizontal="center" vertical="center"/>
    </xf>
    <xf numFmtId="0" fontId="82" fillId="5" borderId="91" xfId="1" applyFont="1" applyFill="1" applyBorder="1" applyAlignment="1" applyProtection="1">
      <alignment horizontal="center" vertical="center"/>
    </xf>
    <xf numFmtId="0" fontId="83" fillId="34" borderId="0" xfId="1" applyFont="1" applyFill="1" applyBorder="1" applyAlignment="1" applyProtection="1">
      <alignment horizontal="left" vertical="center" wrapText="1"/>
      <protection hidden="1"/>
    </xf>
    <xf numFmtId="0" fontId="85" fillId="35" borderId="0" xfId="0" applyFont="1" applyFill="1" applyAlignment="1" applyProtection="1">
      <alignment horizontal="center" vertical="center" wrapText="1"/>
      <protection hidden="1"/>
    </xf>
    <xf numFmtId="0" fontId="86" fillId="31" borderId="0" xfId="0" applyFont="1" applyFill="1" applyAlignment="1">
      <alignment horizontal="center"/>
    </xf>
    <xf numFmtId="0" fontId="87" fillId="35" borderId="0" xfId="1" applyFont="1" applyFill="1" applyBorder="1" applyAlignment="1" applyProtection="1">
      <alignment horizontal="center" vertical="center"/>
      <protection hidden="1"/>
    </xf>
    <xf numFmtId="0" fontId="88" fillId="35" borderId="0" xfId="0" applyFont="1" applyFill="1" applyAlignment="1" applyProtection="1">
      <alignment horizontal="center" vertical="center"/>
      <protection hidden="1"/>
    </xf>
    <xf numFmtId="0" fontId="48" fillId="34" borderId="0" xfId="1" applyFont="1" applyFill="1" applyBorder="1" applyAlignment="1" applyProtection="1">
      <alignment horizontal="left" vertical="center" wrapText="1"/>
      <protection hidden="1"/>
    </xf>
    <xf numFmtId="0" fontId="83" fillId="34" borderId="0" xfId="0" applyFont="1" applyFill="1" applyBorder="1" applyAlignment="1" applyProtection="1">
      <alignment horizontal="left" vertical="center" wrapText="1"/>
      <protection hidden="1"/>
    </xf>
    <xf numFmtId="0" fontId="84" fillId="31" borderId="0" xfId="0" applyFont="1" applyFill="1" applyAlignment="1" applyProtection="1">
      <alignment horizontal="center"/>
      <protection hidden="1"/>
    </xf>
    <xf numFmtId="0" fontId="40" fillId="34" borderId="0" xfId="1" applyFont="1" applyFill="1" applyBorder="1" applyAlignment="1" applyProtection="1">
      <alignment horizontal="left" vertical="center" wrapText="1"/>
      <protection hidden="1"/>
    </xf>
  </cellXfs>
  <cellStyles count="3">
    <cellStyle name="Hiperlink" xfId="1" builtinId="8"/>
    <cellStyle name="Normal" xfId="0" builtinId="0"/>
    <cellStyle name="Normal 2" xfId="2" xr:uid="{0F3E0D27-81A5-418C-A741-80B5DDF5AE5D}"/>
  </cellStyles>
  <dxfs count="46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fgColor indexed="9"/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gradientFill degree="180">
          <stop position="0">
            <color theme="0"/>
          </stop>
          <stop position="1">
            <color rgb="FFFFFF6D"/>
          </stop>
        </gradientFill>
      </fill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 patternType="solid"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  <dxf>
      <fill>
        <patternFill>
          <bgColor rgb="FFFFC000"/>
        </patternFill>
      </fill>
    </dxf>
    <dxf>
      <font>
        <b val="0"/>
        <condense val="0"/>
        <extend val="0"/>
        <color indexed="10"/>
      </font>
      <border>
        <left style="hair">
          <color indexed="52"/>
        </left>
        <right style="hair">
          <color indexed="52"/>
        </right>
        <top style="hair">
          <color indexed="52"/>
        </top>
        <bottom style="hair">
          <color indexed="52"/>
        </bottom>
      </border>
    </dxf>
    <dxf>
      <font>
        <b val="0"/>
        <condense val="0"/>
        <extend val="0"/>
        <color indexed="8"/>
      </font>
      <border>
        <left style="hair">
          <color indexed="52"/>
        </left>
        <right style="hair">
          <color indexed="52"/>
        </right>
        <top style="hair">
          <color indexed="52"/>
        </top>
        <bottom style="hair">
          <color indexed="52"/>
        </bottom>
      </border>
    </dxf>
    <dxf>
      <fill>
        <patternFill patternType="solid">
          <fgColor indexed="9"/>
          <bgColor indexed="26"/>
        </patternFill>
      </fill>
      <border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lannacopa.wixsite.com/alan-mobil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guiadecompra.com/copa-do-mundo/" TargetMode="External"/><Relationship Id="rId1" Type="http://schemas.openxmlformats.org/officeDocument/2006/relationships/hyperlink" Target="http://www.guiadecompra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guiadecompra@guiadecompra.com" TargetMode="External"/><Relationship Id="rId1" Type="http://schemas.openxmlformats.org/officeDocument/2006/relationships/hyperlink" Target="http://www.guiadcompra.com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guiadecompra.com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uiadcompra.com/" TargetMode="External"/><Relationship Id="rId2" Type="http://schemas.openxmlformats.org/officeDocument/2006/relationships/hyperlink" Target="http://www.guiadecompra.com/copa-do-mundo/" TargetMode="External"/><Relationship Id="rId1" Type="http://schemas.openxmlformats.org/officeDocument/2006/relationships/hyperlink" Target="http://www.guiadcompra.com/" TargetMode="External"/><Relationship Id="rId4" Type="http://schemas.openxmlformats.org/officeDocument/2006/relationships/hyperlink" Target="https://www.guiadecompra.com/copa-do-mundo/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udoexcel.com.br/produto/planilha-de-orcamento-de-obras-2-0" TargetMode="External"/><Relationship Id="rId13" Type="http://schemas.openxmlformats.org/officeDocument/2006/relationships/printerSettings" Target="../printerSettings/printerSettings5.bin"/><Relationship Id="rId3" Type="http://schemas.openxmlformats.org/officeDocument/2006/relationships/hyperlink" Target="https://www.tudoexcel.com.br/produto/planilha-de-controle-de-estoque" TargetMode="External"/><Relationship Id="rId7" Type="http://schemas.openxmlformats.org/officeDocument/2006/relationships/hyperlink" Target="https://www.tudoexcel.com.br/produto/pacote-de-planilhas-de-excel" TargetMode="External"/><Relationship Id="rId12" Type="http://schemas.openxmlformats.org/officeDocument/2006/relationships/hyperlink" Target="https://www.tudoexcel.com.br/loja" TargetMode="External"/><Relationship Id="rId2" Type="http://schemas.openxmlformats.org/officeDocument/2006/relationships/hyperlink" Target="https://www.tudoexcel.com.br/produto/planilha-de-construcao-e-reformas" TargetMode="External"/><Relationship Id="rId1" Type="http://schemas.openxmlformats.org/officeDocument/2006/relationships/hyperlink" Target="http://www.guiadecompra.com/" TargetMode="External"/><Relationship Id="rId6" Type="http://schemas.openxmlformats.org/officeDocument/2006/relationships/hyperlink" Target="https://www.tudoexcel.com.br/produto/planilha-de-estoque-e-vendas" TargetMode="External"/><Relationship Id="rId11" Type="http://schemas.openxmlformats.org/officeDocument/2006/relationships/hyperlink" Target="https://www.tudoexcel.com.br/produto/planilha-de-cotacao-ate-20-fornecedores-500-itens" TargetMode="External"/><Relationship Id="rId5" Type="http://schemas.openxmlformats.org/officeDocument/2006/relationships/hyperlink" Target="https://www.tudoexcel.com.br/produto/planilha-controle-de-debitos-de-clientes" TargetMode="External"/><Relationship Id="rId10" Type="http://schemas.openxmlformats.org/officeDocument/2006/relationships/hyperlink" Target="https://www.tudoexcel.com.br/produto/planilha-de-fluxo-de-caixa" TargetMode="External"/><Relationship Id="rId4" Type="http://schemas.openxmlformats.org/officeDocument/2006/relationships/hyperlink" Target="https://www.tudoexcel.com.br/produto/planilha-de-cotacao-de-precos" TargetMode="External"/><Relationship Id="rId9" Type="http://schemas.openxmlformats.org/officeDocument/2006/relationships/hyperlink" Target="https://www.tudoexcel.com.br/produto/planilha-de-gerenciamento-de-venda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A4992-B8B6-4050-9C3D-1B794CEDA4AD}">
  <sheetPr>
    <pageSetUpPr fitToPage="1"/>
  </sheetPr>
  <dimension ref="A1:M1003"/>
  <sheetViews>
    <sheetView tabSelected="1" zoomScale="130" zoomScaleNormal="130" workbookViewId="0">
      <selection activeCell="A43" sqref="A43"/>
    </sheetView>
  </sheetViews>
  <sheetFormatPr baseColWidth="10" defaultColWidth="12.5" defaultRowHeight="15" customHeight="1"/>
  <cols>
    <col min="1" max="1" width="81.83203125" style="321" customWidth="1"/>
    <col min="2" max="2" width="5.5" style="321" customWidth="1"/>
    <col min="3" max="3" width="8.5" style="321" customWidth="1"/>
    <col min="4" max="4" width="9.1640625" style="321" customWidth="1"/>
    <col min="5" max="26" width="8.5" style="321" customWidth="1"/>
    <col min="27" max="16384" width="12.5" style="321"/>
  </cols>
  <sheetData>
    <row r="1" spans="1:13" ht="12.75" customHeight="1">
      <c r="A1" s="338" t="s">
        <v>130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</row>
    <row r="2" spans="1:13" ht="12.75" customHeight="1">
      <c r="A2" s="340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</row>
    <row r="3" spans="1:13" ht="12.75" customHeight="1">
      <c r="A3" s="341" t="s">
        <v>131</v>
      </c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  <c r="M3" s="339"/>
    </row>
    <row r="4" spans="1:13" ht="29">
      <c r="A4" s="341" t="s">
        <v>213</v>
      </c>
      <c r="B4" s="339"/>
      <c r="C4" s="339"/>
      <c r="D4" s="339"/>
      <c r="E4" s="339"/>
      <c r="F4" s="339"/>
      <c r="G4" s="339"/>
      <c r="H4" s="339"/>
      <c r="I4" s="339"/>
      <c r="J4" s="339"/>
      <c r="K4" s="339"/>
      <c r="L4" s="339"/>
      <c r="M4" s="339"/>
    </row>
    <row r="5" spans="1:13" ht="12.75" customHeight="1">
      <c r="A5" s="341"/>
      <c r="B5" s="339"/>
      <c r="C5" s="339"/>
      <c r="D5" s="339"/>
      <c r="E5" s="339"/>
      <c r="F5" s="339"/>
      <c r="G5" s="339"/>
      <c r="H5" s="339"/>
      <c r="I5" s="339"/>
      <c r="J5" s="339"/>
      <c r="K5" s="339"/>
      <c r="L5" s="339"/>
      <c r="M5" s="339"/>
    </row>
    <row r="6" spans="1:13" ht="12.75" customHeight="1" thickBot="1">
      <c r="A6" s="340" t="s">
        <v>132</v>
      </c>
      <c r="B6" s="339"/>
      <c r="C6" s="339"/>
      <c r="D6" s="339"/>
      <c r="E6" s="339"/>
      <c r="F6" s="339"/>
      <c r="G6" s="339"/>
      <c r="H6" s="339"/>
      <c r="I6" s="339"/>
      <c r="J6" s="339"/>
      <c r="K6" s="339"/>
      <c r="L6" s="339"/>
      <c r="M6" s="339"/>
    </row>
    <row r="7" spans="1:13" ht="12.75" customHeight="1" thickBot="1">
      <c r="A7" s="342" t="s">
        <v>133</v>
      </c>
      <c r="B7" s="343" t="s">
        <v>134</v>
      </c>
      <c r="C7" s="339"/>
      <c r="D7" s="339"/>
      <c r="E7" s="339"/>
      <c r="F7" s="339"/>
      <c r="G7" s="339"/>
      <c r="H7" s="339"/>
      <c r="I7" s="339"/>
      <c r="J7" s="339"/>
      <c r="K7" s="339"/>
      <c r="L7" s="339"/>
      <c r="M7" s="339"/>
    </row>
    <row r="8" spans="1:13" ht="12.75" customHeight="1" thickBot="1">
      <c r="A8" s="344" t="s">
        <v>135</v>
      </c>
      <c r="B8" s="345" t="s">
        <v>136</v>
      </c>
      <c r="C8" s="339"/>
      <c r="D8" s="339"/>
      <c r="E8" s="339"/>
      <c r="F8" s="339"/>
      <c r="G8" s="339"/>
      <c r="H8" s="339"/>
      <c r="I8" s="339"/>
      <c r="J8" s="339"/>
      <c r="K8" s="339"/>
      <c r="L8" s="339"/>
      <c r="M8" s="339"/>
    </row>
    <row r="9" spans="1:13" ht="12.75" customHeight="1" thickBot="1">
      <c r="A9" s="344" t="s">
        <v>137</v>
      </c>
      <c r="B9" s="345" t="s">
        <v>138</v>
      </c>
      <c r="C9" s="339"/>
      <c r="D9" s="339"/>
      <c r="E9" s="339"/>
      <c r="F9" s="339"/>
      <c r="G9" s="339"/>
      <c r="H9" s="339"/>
      <c r="I9" s="339"/>
      <c r="J9" s="339"/>
      <c r="K9" s="339"/>
      <c r="L9" s="339"/>
      <c r="M9" s="339"/>
    </row>
    <row r="10" spans="1:13" ht="12.75" customHeight="1" thickBot="1">
      <c r="A10" s="344" t="s">
        <v>139</v>
      </c>
      <c r="B10" s="345" t="s">
        <v>140</v>
      </c>
      <c r="C10" s="339"/>
      <c r="D10" s="339"/>
      <c r="E10" s="339"/>
      <c r="F10" s="339"/>
      <c r="G10" s="339"/>
      <c r="H10" s="339"/>
      <c r="I10" s="339"/>
      <c r="J10" s="339"/>
      <c r="K10" s="339"/>
      <c r="L10" s="339"/>
      <c r="M10" s="339"/>
    </row>
    <row r="11" spans="1:13" ht="12.75" customHeight="1" thickBot="1">
      <c r="A11" s="344" t="s">
        <v>141</v>
      </c>
      <c r="B11" s="345" t="s">
        <v>140</v>
      </c>
      <c r="C11" s="339"/>
      <c r="D11" s="339"/>
      <c r="E11" s="339"/>
      <c r="F11" s="339"/>
      <c r="G11" s="339"/>
      <c r="H11" s="339"/>
      <c r="I11" s="339"/>
      <c r="J11" s="339"/>
      <c r="K11" s="339"/>
      <c r="L11" s="339"/>
      <c r="M11" s="339"/>
    </row>
    <row r="12" spans="1:13" ht="12.75" customHeight="1" thickBot="1">
      <c r="A12" s="344" t="s">
        <v>142</v>
      </c>
      <c r="B12" s="345" t="s">
        <v>140</v>
      </c>
      <c r="C12" s="339"/>
      <c r="D12" s="339"/>
      <c r="E12" s="339"/>
      <c r="F12" s="339"/>
      <c r="G12" s="339"/>
      <c r="H12" s="339"/>
      <c r="I12" s="339"/>
      <c r="J12" s="339"/>
      <c r="K12" s="339"/>
      <c r="L12" s="339"/>
      <c r="M12" s="339"/>
    </row>
    <row r="13" spans="1:13" ht="12.75" customHeight="1" thickBot="1">
      <c r="A13" s="344" t="s">
        <v>143</v>
      </c>
      <c r="B13" s="345" t="s">
        <v>144</v>
      </c>
      <c r="C13" s="339"/>
      <c r="D13" s="339"/>
      <c r="E13" s="339"/>
      <c r="F13" s="339"/>
      <c r="G13" s="339"/>
      <c r="H13" s="339"/>
      <c r="I13" s="339"/>
      <c r="J13" s="339"/>
      <c r="K13" s="339"/>
      <c r="L13" s="339"/>
      <c r="M13" s="339"/>
    </row>
    <row r="14" spans="1:13" ht="12.75" customHeight="1" thickBot="1">
      <c r="A14" s="344" t="s">
        <v>145</v>
      </c>
      <c r="B14" s="345" t="s">
        <v>146</v>
      </c>
      <c r="C14" s="339"/>
      <c r="D14" s="339"/>
      <c r="E14" s="339"/>
      <c r="F14" s="339"/>
      <c r="G14" s="339"/>
      <c r="H14" s="339"/>
      <c r="I14" s="339"/>
      <c r="J14" s="339"/>
      <c r="K14" s="339"/>
      <c r="L14" s="339"/>
      <c r="M14" s="339"/>
    </row>
    <row r="15" spans="1:13" ht="12.75" customHeight="1" thickBot="1">
      <c r="A15" s="344" t="s">
        <v>147</v>
      </c>
      <c r="B15" s="345" t="s">
        <v>148</v>
      </c>
      <c r="C15" s="339"/>
      <c r="D15" s="339"/>
      <c r="E15" s="339"/>
      <c r="F15" s="339"/>
      <c r="G15" s="339"/>
      <c r="H15" s="339"/>
      <c r="I15" s="339"/>
      <c r="J15" s="339"/>
      <c r="K15" s="339"/>
      <c r="L15" s="339"/>
      <c r="M15" s="339"/>
    </row>
    <row r="16" spans="1:13" ht="12.75" customHeight="1" thickBot="1">
      <c r="A16" s="344" t="s">
        <v>149</v>
      </c>
      <c r="B16" s="345" t="s">
        <v>148</v>
      </c>
      <c r="C16" s="339"/>
      <c r="D16" s="339"/>
      <c r="E16" s="339"/>
      <c r="F16" s="339"/>
      <c r="G16" s="339"/>
      <c r="H16" s="339"/>
      <c r="I16" s="339"/>
      <c r="J16" s="339"/>
      <c r="K16" s="339"/>
      <c r="L16" s="339"/>
      <c r="M16" s="339"/>
    </row>
    <row r="17" spans="1:13" ht="12.75" customHeight="1" thickBot="1">
      <c r="A17" s="344" t="s">
        <v>150</v>
      </c>
      <c r="B17" s="345" t="s">
        <v>151</v>
      </c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</row>
    <row r="18" spans="1:13" ht="12.75" customHeight="1" thickBot="1">
      <c r="A18" s="344" t="s">
        <v>152</v>
      </c>
      <c r="B18" s="345" t="s">
        <v>153</v>
      </c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</row>
    <row r="19" spans="1:13" ht="12.75" customHeight="1" thickBot="1">
      <c r="A19" s="344" t="s">
        <v>154</v>
      </c>
      <c r="B19" s="345" t="s">
        <v>155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</row>
    <row r="20" spans="1:13" ht="12.75" customHeight="1" thickBot="1">
      <c r="A20" s="344" t="s">
        <v>156</v>
      </c>
      <c r="B20" s="345" t="s">
        <v>153</v>
      </c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</row>
    <row r="21" spans="1:13" ht="12.75" customHeight="1" thickBot="1">
      <c r="A21" s="344" t="s">
        <v>157</v>
      </c>
      <c r="B21" s="345" t="s">
        <v>148</v>
      </c>
      <c r="C21" s="339"/>
      <c r="D21" s="339"/>
      <c r="E21" s="339"/>
      <c r="F21" s="339"/>
      <c r="G21" s="339"/>
      <c r="H21" s="339"/>
      <c r="I21" s="339"/>
      <c r="J21" s="339"/>
      <c r="K21" s="339"/>
      <c r="L21" s="339"/>
      <c r="M21" s="339"/>
    </row>
    <row r="22" spans="1:13" ht="12.75" customHeight="1" thickBot="1">
      <c r="A22" s="344" t="s">
        <v>158</v>
      </c>
      <c r="B22" s="345" t="s">
        <v>148</v>
      </c>
      <c r="C22" s="339"/>
      <c r="D22" s="339"/>
      <c r="E22" s="339"/>
      <c r="F22" s="339"/>
      <c r="G22" s="339"/>
      <c r="H22" s="339"/>
      <c r="I22" s="339"/>
      <c r="J22" s="339"/>
      <c r="K22" s="339"/>
      <c r="L22" s="339"/>
      <c r="M22" s="339"/>
    </row>
    <row r="23" spans="1:13" ht="12.75" customHeight="1" thickBot="1">
      <c r="A23" s="344" t="s">
        <v>159</v>
      </c>
      <c r="B23" s="345" t="s">
        <v>148</v>
      </c>
      <c r="C23" s="339"/>
      <c r="D23" s="339"/>
      <c r="E23" s="339"/>
      <c r="F23" s="339"/>
      <c r="G23" s="339"/>
      <c r="H23" s="339"/>
      <c r="I23" s="339"/>
      <c r="J23" s="339"/>
      <c r="K23" s="339"/>
      <c r="L23" s="339"/>
      <c r="M23" s="339"/>
    </row>
    <row r="24" spans="1:13" ht="12.75" customHeight="1" thickBot="1">
      <c r="A24" s="344" t="s">
        <v>160</v>
      </c>
      <c r="B24" s="345" t="s">
        <v>148</v>
      </c>
      <c r="C24" s="339"/>
      <c r="D24" s="339"/>
      <c r="E24" s="339"/>
      <c r="F24" s="339"/>
      <c r="G24" s="339"/>
      <c r="H24" s="339"/>
      <c r="I24" s="339"/>
      <c r="J24" s="339"/>
      <c r="K24" s="339"/>
      <c r="L24" s="339"/>
      <c r="M24" s="339"/>
    </row>
    <row r="25" spans="1:13" ht="12.75" customHeight="1" thickBot="1">
      <c r="A25" s="344" t="s">
        <v>161</v>
      </c>
      <c r="B25" s="345" t="s">
        <v>151</v>
      </c>
      <c r="C25" s="339"/>
      <c r="D25" s="339"/>
      <c r="E25" s="339"/>
      <c r="F25" s="339"/>
      <c r="G25" s="339"/>
      <c r="H25" s="339"/>
      <c r="I25" s="339"/>
      <c r="J25" s="339"/>
      <c r="K25" s="339"/>
      <c r="L25" s="339"/>
      <c r="M25" s="339"/>
    </row>
    <row r="26" spans="1:13" ht="12.75" customHeight="1">
      <c r="A26" s="340"/>
      <c r="B26" s="339"/>
      <c r="C26" s="339"/>
      <c r="D26" s="339"/>
      <c r="E26" s="339"/>
      <c r="F26" s="339"/>
      <c r="G26" s="339"/>
      <c r="H26" s="339"/>
      <c r="I26" s="339"/>
      <c r="J26" s="339"/>
      <c r="K26" s="339"/>
      <c r="L26" s="339"/>
      <c r="M26" s="339"/>
    </row>
    <row r="27" spans="1:13" ht="12.75" customHeight="1">
      <c r="A27" s="346" t="s">
        <v>162</v>
      </c>
      <c r="B27" s="339"/>
      <c r="C27" s="339"/>
      <c r="D27" s="339"/>
      <c r="E27" s="339"/>
      <c r="F27" s="339"/>
      <c r="G27" s="339"/>
      <c r="H27" s="339"/>
      <c r="I27" s="339"/>
      <c r="J27" s="339"/>
      <c r="K27" s="339"/>
      <c r="L27" s="339"/>
      <c r="M27" s="339"/>
    </row>
    <row r="28" spans="1:13" ht="12.75" customHeight="1">
      <c r="A28" s="340"/>
      <c r="B28" s="339"/>
      <c r="C28" s="339"/>
      <c r="D28" s="339"/>
      <c r="E28" s="339"/>
      <c r="F28" s="339"/>
      <c r="G28" s="339"/>
      <c r="H28" s="339"/>
      <c r="I28" s="339"/>
      <c r="J28" s="339"/>
      <c r="K28" s="339"/>
      <c r="L28" s="339"/>
      <c r="M28" s="339"/>
    </row>
    <row r="29" spans="1:13" ht="12.75" customHeight="1">
      <c r="A29" s="340" t="s">
        <v>163</v>
      </c>
      <c r="B29" s="339"/>
      <c r="C29" s="339"/>
      <c r="D29" s="339"/>
      <c r="E29" s="339"/>
      <c r="F29" s="339"/>
      <c r="G29" s="339"/>
      <c r="H29" s="339"/>
      <c r="I29" s="339"/>
      <c r="J29" s="339"/>
      <c r="K29" s="339"/>
      <c r="L29" s="339"/>
      <c r="M29" s="339"/>
    </row>
    <row r="30" spans="1:13" ht="12.75" customHeight="1">
      <c r="A30" s="340"/>
      <c r="B30" s="339"/>
      <c r="C30" s="339"/>
      <c r="D30" s="339"/>
      <c r="E30" s="339"/>
      <c r="F30" s="339"/>
      <c r="G30" s="339"/>
      <c r="H30" s="339"/>
      <c r="I30" s="339"/>
      <c r="J30" s="339"/>
      <c r="K30" s="339"/>
      <c r="L30" s="339"/>
      <c r="M30" s="339"/>
    </row>
    <row r="31" spans="1:13" ht="12.75" customHeight="1">
      <c r="A31" s="340" t="s">
        <v>164</v>
      </c>
      <c r="B31" s="339"/>
      <c r="C31" s="339"/>
      <c r="D31" s="339"/>
      <c r="E31" s="339"/>
      <c r="F31" s="339"/>
      <c r="G31" s="339"/>
      <c r="H31" s="339"/>
      <c r="I31" s="339"/>
      <c r="J31" s="339"/>
      <c r="K31" s="339"/>
      <c r="L31" s="339"/>
      <c r="M31" s="339"/>
    </row>
    <row r="32" spans="1:13" ht="12.75" customHeight="1">
      <c r="A32" s="340" t="s">
        <v>165</v>
      </c>
      <c r="B32" s="339"/>
      <c r="C32" s="339"/>
      <c r="D32" s="339"/>
      <c r="E32" s="339"/>
      <c r="F32" s="339"/>
      <c r="G32" s="339"/>
      <c r="H32" s="339"/>
      <c r="I32" s="339"/>
      <c r="J32" s="339"/>
      <c r="K32" s="339"/>
      <c r="L32" s="339"/>
      <c r="M32" s="339"/>
    </row>
    <row r="33" spans="1:13" ht="12.75" customHeight="1">
      <c r="A33" s="340" t="s">
        <v>166</v>
      </c>
      <c r="B33" s="339"/>
      <c r="C33" s="339"/>
      <c r="D33" s="339"/>
      <c r="E33" s="339"/>
      <c r="F33" s="339"/>
      <c r="G33" s="339"/>
      <c r="H33" s="339"/>
      <c r="I33" s="339"/>
      <c r="J33" s="339"/>
      <c r="K33" s="339"/>
      <c r="L33" s="339"/>
      <c r="M33" s="339"/>
    </row>
    <row r="34" spans="1:13" ht="12.75" customHeight="1">
      <c r="A34" s="340"/>
      <c r="B34" s="339"/>
      <c r="C34" s="339"/>
      <c r="D34" s="339"/>
      <c r="E34" s="339"/>
      <c r="F34" s="339"/>
      <c r="G34" s="339"/>
      <c r="H34" s="339"/>
      <c r="I34" s="339"/>
      <c r="J34" s="339"/>
      <c r="K34" s="339"/>
      <c r="L34" s="339"/>
      <c r="M34" s="339"/>
    </row>
    <row r="35" spans="1:13" ht="12.75" customHeight="1">
      <c r="A35" s="340" t="s">
        <v>167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</row>
    <row r="36" spans="1:13" ht="29">
      <c r="A36" s="347" t="s">
        <v>168</v>
      </c>
      <c r="B36" s="339"/>
      <c r="C36" s="339"/>
      <c r="D36" s="339"/>
      <c r="E36" s="339"/>
      <c r="F36" s="339"/>
      <c r="G36" s="339"/>
      <c r="H36" s="339"/>
      <c r="I36" s="339"/>
      <c r="J36" s="339"/>
      <c r="K36" s="339"/>
      <c r="L36" s="339"/>
      <c r="M36" s="339"/>
    </row>
    <row r="37" spans="1:13" ht="15" customHeight="1">
      <c r="A37" s="348" t="s">
        <v>169</v>
      </c>
      <c r="B37" s="339"/>
      <c r="C37" s="339"/>
      <c r="D37" s="339"/>
      <c r="E37" s="339"/>
      <c r="F37" s="339"/>
      <c r="G37" s="339"/>
      <c r="H37" s="339"/>
      <c r="I37" s="339"/>
      <c r="J37" s="339"/>
      <c r="K37" s="339"/>
      <c r="L37" s="339"/>
      <c r="M37" s="339"/>
    </row>
    <row r="38" spans="1:13" ht="12.75" customHeight="1">
      <c r="A38" s="348" t="s">
        <v>170</v>
      </c>
      <c r="B38" s="339"/>
      <c r="C38" s="339"/>
      <c r="D38" s="339"/>
      <c r="E38" s="339"/>
      <c r="F38" s="339"/>
      <c r="G38" s="339"/>
      <c r="H38" s="339"/>
      <c r="I38" s="339"/>
      <c r="J38" s="339"/>
      <c r="K38" s="339"/>
      <c r="L38" s="339"/>
      <c r="M38" s="339"/>
    </row>
    <row r="39" spans="1:13" ht="12.75" customHeight="1">
      <c r="A39" s="348" t="s">
        <v>171</v>
      </c>
      <c r="B39" s="339"/>
      <c r="C39" s="339"/>
      <c r="D39" s="339"/>
      <c r="E39" s="339"/>
      <c r="F39" s="339"/>
      <c r="G39" s="339"/>
      <c r="H39" s="339"/>
      <c r="I39" s="339"/>
      <c r="J39" s="339"/>
      <c r="K39" s="339"/>
      <c r="L39" s="339"/>
      <c r="M39" s="339"/>
    </row>
    <row r="40" spans="1:13" ht="17.25" customHeight="1">
      <c r="A40" s="348" t="s">
        <v>172</v>
      </c>
      <c r="B40" s="339"/>
      <c r="C40" s="339"/>
      <c r="D40" s="339"/>
      <c r="E40" s="339"/>
      <c r="F40" s="339"/>
      <c r="G40" s="339"/>
      <c r="H40" s="339"/>
      <c r="I40" s="339"/>
      <c r="J40" s="339"/>
      <c r="K40" s="339"/>
      <c r="L40" s="339"/>
      <c r="M40" s="339"/>
    </row>
    <row r="41" spans="1:13" ht="43">
      <c r="A41" s="347" t="s">
        <v>224</v>
      </c>
      <c r="B41" s="339"/>
      <c r="C41" s="339"/>
      <c r="D41" s="339"/>
      <c r="E41" s="339"/>
      <c r="F41" s="339"/>
      <c r="G41" s="339"/>
      <c r="H41" s="339"/>
      <c r="I41" s="339"/>
      <c r="J41" s="339"/>
      <c r="K41" s="339"/>
      <c r="L41" s="339"/>
      <c r="M41" s="339"/>
    </row>
    <row r="42" spans="1:13" ht="43">
      <c r="A42" s="347" t="s">
        <v>223</v>
      </c>
      <c r="B42" s="339"/>
      <c r="C42" s="339"/>
      <c r="D42" s="339"/>
      <c r="E42" s="339"/>
      <c r="F42" s="339"/>
      <c r="G42" s="339"/>
      <c r="H42" s="339"/>
      <c r="I42" s="339"/>
      <c r="J42" s="339"/>
      <c r="K42" s="339"/>
      <c r="L42" s="339"/>
      <c r="M42" s="339"/>
    </row>
    <row r="43" spans="1:13" ht="29">
      <c r="A43" s="347" t="s">
        <v>173</v>
      </c>
      <c r="B43" s="339"/>
      <c r="C43" s="339"/>
      <c r="D43" s="339"/>
      <c r="E43" s="339"/>
      <c r="F43" s="339"/>
      <c r="G43" s="339"/>
      <c r="H43" s="339"/>
      <c r="I43" s="339"/>
      <c r="J43" s="339"/>
      <c r="K43" s="339"/>
      <c r="L43" s="339"/>
      <c r="M43" s="339"/>
    </row>
    <row r="44" spans="1:13" ht="12.75" customHeight="1">
      <c r="A44" s="349" t="s">
        <v>174</v>
      </c>
      <c r="B44" s="339"/>
      <c r="C44" s="339"/>
      <c r="D44" s="339"/>
      <c r="E44" s="339"/>
      <c r="F44" s="339"/>
      <c r="G44" s="339"/>
      <c r="H44" s="339"/>
      <c r="I44" s="339"/>
      <c r="J44" s="339"/>
      <c r="K44" s="339"/>
      <c r="L44" s="339"/>
      <c r="M44" s="339"/>
    </row>
    <row r="45" spans="1:13" ht="12.75" customHeight="1">
      <c r="A45" s="347" t="s">
        <v>175</v>
      </c>
      <c r="B45" s="339"/>
      <c r="C45" s="339"/>
      <c r="D45" s="339"/>
      <c r="E45" s="339"/>
      <c r="F45" s="339"/>
      <c r="G45" s="339"/>
      <c r="H45" s="339"/>
      <c r="I45" s="339"/>
      <c r="J45" s="339"/>
      <c r="K45" s="339"/>
      <c r="L45" s="339"/>
      <c r="M45" s="339"/>
    </row>
    <row r="46" spans="1:13" ht="12.75" customHeight="1">
      <c r="A46" s="347" t="s">
        <v>176</v>
      </c>
      <c r="B46" s="339"/>
      <c r="C46" s="339"/>
      <c r="D46" s="339"/>
      <c r="E46" s="339"/>
      <c r="F46" s="339"/>
      <c r="G46" s="339"/>
      <c r="H46" s="339"/>
      <c r="I46" s="339"/>
      <c r="J46" s="339"/>
      <c r="K46" s="339"/>
      <c r="L46" s="339"/>
      <c r="M46" s="339"/>
    </row>
    <row r="47" spans="1:13" ht="12.75" customHeight="1">
      <c r="A47" s="349" t="s">
        <v>177</v>
      </c>
      <c r="B47" s="339"/>
      <c r="C47" s="339"/>
      <c r="D47" s="339"/>
      <c r="E47" s="339"/>
      <c r="F47" s="339"/>
      <c r="G47" s="339"/>
      <c r="H47" s="339"/>
      <c r="I47" s="339"/>
      <c r="J47" s="339"/>
      <c r="K47" s="339"/>
      <c r="L47" s="339"/>
      <c r="M47" s="339"/>
    </row>
    <row r="48" spans="1:13" ht="12.75" customHeight="1">
      <c r="A48" s="349" t="s">
        <v>214</v>
      </c>
      <c r="B48" s="339"/>
      <c r="C48" s="339"/>
      <c r="D48" s="339"/>
      <c r="E48" s="339"/>
      <c r="F48" s="339"/>
      <c r="G48" s="339"/>
      <c r="H48" s="339"/>
      <c r="I48" s="339"/>
      <c r="J48" s="339"/>
      <c r="K48" s="339"/>
      <c r="L48" s="339"/>
      <c r="M48" s="339"/>
    </row>
    <row r="49" spans="1:13" ht="29">
      <c r="A49" s="347" t="s">
        <v>225</v>
      </c>
      <c r="B49" s="339"/>
      <c r="C49" s="339"/>
      <c r="D49" s="339"/>
      <c r="E49" s="339"/>
      <c r="F49" s="339"/>
      <c r="G49" s="339"/>
      <c r="H49" s="339"/>
      <c r="I49" s="339"/>
      <c r="J49" s="339"/>
      <c r="K49" s="339"/>
      <c r="L49" s="339"/>
      <c r="M49" s="339"/>
    </row>
    <row r="50" spans="1:13" ht="12.75" customHeight="1">
      <c r="A50" s="350" t="s">
        <v>178</v>
      </c>
      <c r="B50" s="339"/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</row>
    <row r="51" spans="1:13" ht="12.75" customHeight="1">
      <c r="A51" s="340"/>
      <c r="B51" s="339"/>
      <c r="C51" s="339"/>
      <c r="D51" s="339"/>
      <c r="E51" s="339"/>
      <c r="F51" s="339"/>
      <c r="G51" s="339"/>
      <c r="H51" s="339"/>
      <c r="I51" s="339"/>
      <c r="J51" s="339"/>
      <c r="K51" s="339"/>
      <c r="L51" s="339"/>
      <c r="M51" s="339"/>
    </row>
    <row r="52" spans="1:13" ht="12.75" customHeight="1">
      <c r="A52" s="339"/>
      <c r="B52" s="339"/>
      <c r="C52" s="339"/>
      <c r="D52" s="339"/>
      <c r="E52" s="339"/>
      <c r="F52" s="339"/>
      <c r="G52" s="339"/>
      <c r="H52" s="339"/>
      <c r="I52" s="339"/>
      <c r="J52" s="339"/>
      <c r="K52" s="339"/>
      <c r="L52" s="339"/>
      <c r="M52" s="339"/>
    </row>
    <row r="53" spans="1:13" ht="12.75" customHeight="1">
      <c r="A53" s="340" t="s">
        <v>179</v>
      </c>
      <c r="B53" s="339"/>
      <c r="C53" s="339"/>
      <c r="D53" s="339"/>
      <c r="E53" s="339"/>
      <c r="F53" s="339"/>
      <c r="G53" s="339"/>
      <c r="H53" s="339"/>
      <c r="I53" s="339"/>
      <c r="J53" s="339"/>
      <c r="K53" s="339"/>
      <c r="L53" s="339"/>
      <c r="M53" s="339"/>
    </row>
    <row r="54" spans="1:13" ht="12.75" customHeight="1">
      <c r="A54" s="340" t="s">
        <v>180</v>
      </c>
      <c r="B54" s="339"/>
      <c r="C54" s="339"/>
      <c r="D54" s="339"/>
      <c r="E54" s="339"/>
      <c r="F54" s="339"/>
      <c r="G54" s="339"/>
      <c r="H54" s="339"/>
      <c r="I54" s="339"/>
      <c r="J54" s="339"/>
      <c r="K54" s="339"/>
      <c r="L54" s="339"/>
      <c r="M54" s="339"/>
    </row>
    <row r="55" spans="1:13" ht="12.75" customHeight="1">
      <c r="A55" s="340" t="s">
        <v>181</v>
      </c>
      <c r="B55" s="339"/>
      <c r="C55" s="339"/>
      <c r="D55" s="339"/>
      <c r="E55" s="339"/>
      <c r="F55" s="339"/>
      <c r="G55" s="339"/>
      <c r="H55" s="339"/>
      <c r="I55" s="339"/>
      <c r="J55" s="339"/>
      <c r="K55" s="339"/>
      <c r="L55" s="339"/>
      <c r="M55" s="339"/>
    </row>
    <row r="56" spans="1:13" ht="12.75" customHeight="1">
      <c r="A56" s="351" t="s">
        <v>182</v>
      </c>
      <c r="B56" s="339"/>
      <c r="C56" s="339"/>
      <c r="D56" s="339"/>
      <c r="E56" s="339"/>
      <c r="F56" s="339"/>
      <c r="G56" s="339"/>
      <c r="H56" s="339"/>
      <c r="I56" s="339"/>
      <c r="J56" s="339"/>
      <c r="K56" s="339"/>
      <c r="L56" s="339"/>
      <c r="M56" s="339"/>
    </row>
    <row r="57" spans="1:13" ht="12.75" customHeight="1">
      <c r="A57" s="339"/>
      <c r="B57" s="339"/>
      <c r="C57" s="339"/>
      <c r="D57" s="339"/>
      <c r="E57" s="339"/>
      <c r="F57" s="339"/>
      <c r="G57" s="339"/>
      <c r="H57" s="339"/>
      <c r="I57" s="339"/>
      <c r="J57" s="339"/>
      <c r="K57" s="339"/>
      <c r="L57" s="339"/>
      <c r="M57" s="339"/>
    </row>
    <row r="58" spans="1:13" ht="12.75" customHeight="1">
      <c r="A58" s="339"/>
      <c r="B58" s="339"/>
      <c r="C58" s="339"/>
      <c r="D58" s="339"/>
      <c r="E58" s="339"/>
      <c r="F58" s="339"/>
      <c r="G58" s="339"/>
      <c r="H58" s="339"/>
      <c r="I58" s="339"/>
      <c r="J58" s="339"/>
      <c r="K58" s="339"/>
      <c r="L58" s="339"/>
      <c r="M58" s="339"/>
    </row>
    <row r="59" spans="1:13" ht="12.75" customHeight="1">
      <c r="A59" s="339"/>
      <c r="B59" s="339"/>
      <c r="C59" s="339"/>
      <c r="D59" s="339"/>
      <c r="E59" s="339"/>
      <c r="F59" s="339"/>
      <c r="G59" s="339"/>
      <c r="H59" s="339"/>
      <c r="I59" s="339"/>
      <c r="J59" s="339"/>
      <c r="K59" s="339"/>
      <c r="L59" s="339"/>
      <c r="M59" s="339"/>
    </row>
    <row r="60" spans="1:13" ht="12.75" customHeight="1">
      <c r="A60" s="339"/>
      <c r="B60" s="339"/>
      <c r="C60" s="339"/>
      <c r="D60" s="339"/>
      <c r="E60" s="339"/>
      <c r="F60" s="339"/>
      <c r="G60" s="339"/>
      <c r="H60" s="339"/>
      <c r="I60" s="339"/>
      <c r="J60" s="339"/>
      <c r="K60" s="339"/>
      <c r="L60" s="339"/>
      <c r="M60" s="339"/>
    </row>
    <row r="61" spans="1:13" ht="12.75" customHeight="1">
      <c r="A61" s="339"/>
      <c r="B61" s="339"/>
      <c r="C61" s="339"/>
      <c r="D61" s="339"/>
      <c r="E61" s="339"/>
      <c r="F61" s="339"/>
      <c r="G61" s="339"/>
      <c r="H61" s="339"/>
      <c r="I61" s="339"/>
      <c r="J61" s="339"/>
      <c r="K61" s="339"/>
      <c r="L61" s="339"/>
      <c r="M61" s="339"/>
    </row>
    <row r="62" spans="1:13" ht="12.75" customHeight="1">
      <c r="A62" s="339"/>
      <c r="B62" s="339"/>
      <c r="C62" s="339"/>
      <c r="D62" s="339"/>
      <c r="E62" s="339"/>
      <c r="F62" s="339"/>
      <c r="G62" s="339"/>
      <c r="H62" s="339"/>
      <c r="I62" s="339"/>
      <c r="J62" s="339"/>
      <c r="K62" s="339"/>
      <c r="L62" s="339"/>
      <c r="M62" s="339"/>
    </row>
    <row r="63" spans="1:13" ht="12.75" customHeight="1">
      <c r="A63" s="339"/>
      <c r="B63" s="339"/>
      <c r="C63" s="339"/>
      <c r="D63" s="339"/>
      <c r="E63" s="339"/>
      <c r="F63" s="339"/>
      <c r="G63" s="339"/>
      <c r="H63" s="339"/>
      <c r="I63" s="339"/>
      <c r="J63" s="339"/>
      <c r="K63" s="339"/>
      <c r="L63" s="339"/>
      <c r="M63" s="339"/>
    </row>
    <row r="64" spans="1:13" ht="12.75" customHeight="1">
      <c r="A64" s="339"/>
      <c r="B64" s="339"/>
      <c r="C64" s="339"/>
      <c r="D64" s="339"/>
      <c r="E64" s="339"/>
      <c r="F64" s="339"/>
      <c r="G64" s="339"/>
      <c r="H64" s="339"/>
      <c r="I64" s="339"/>
      <c r="J64" s="339"/>
      <c r="K64" s="339"/>
      <c r="L64" s="339"/>
      <c r="M64" s="339"/>
    </row>
    <row r="65" spans="1:13" ht="12.75" customHeight="1">
      <c r="A65" s="339"/>
      <c r="B65" s="339"/>
      <c r="C65" s="339"/>
      <c r="D65" s="339"/>
      <c r="E65" s="339"/>
      <c r="F65" s="339"/>
      <c r="G65" s="339"/>
      <c r="H65" s="339"/>
      <c r="I65" s="339"/>
      <c r="J65" s="339"/>
      <c r="K65" s="339"/>
      <c r="L65" s="339"/>
      <c r="M65" s="339"/>
    </row>
    <row r="66" spans="1:13" ht="12.75" customHeight="1">
      <c r="A66" s="339"/>
      <c r="B66" s="339"/>
      <c r="C66" s="339"/>
      <c r="D66" s="339"/>
      <c r="E66" s="339"/>
      <c r="F66" s="339"/>
      <c r="G66" s="339"/>
      <c r="H66" s="339"/>
      <c r="I66" s="339"/>
      <c r="J66" s="339"/>
      <c r="K66" s="339"/>
      <c r="L66" s="339"/>
      <c r="M66" s="339"/>
    </row>
    <row r="67" spans="1:13" ht="12.75" customHeight="1">
      <c r="A67" s="339"/>
      <c r="B67" s="339"/>
      <c r="C67" s="339"/>
      <c r="D67" s="339"/>
      <c r="E67" s="339"/>
      <c r="F67" s="339"/>
      <c r="G67" s="339"/>
      <c r="H67" s="339"/>
      <c r="I67" s="339"/>
      <c r="J67" s="339"/>
      <c r="K67" s="339"/>
      <c r="L67" s="339"/>
      <c r="M67" s="339"/>
    </row>
    <row r="68" spans="1:13" ht="12.75" customHeight="1">
      <c r="A68" s="339"/>
      <c r="B68" s="339"/>
      <c r="C68" s="339"/>
      <c r="D68" s="339"/>
      <c r="E68" s="339"/>
      <c r="F68" s="339"/>
      <c r="G68" s="339"/>
      <c r="H68" s="339"/>
      <c r="I68" s="339"/>
      <c r="J68" s="339"/>
      <c r="K68" s="339"/>
      <c r="L68" s="339"/>
      <c r="M68" s="339"/>
    </row>
    <row r="69" spans="1:13" ht="12.75" customHeight="1">
      <c r="A69" s="339"/>
      <c r="B69" s="339"/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</row>
    <row r="70" spans="1:13" ht="12.75" customHeight="1">
      <c r="A70" s="339"/>
      <c r="B70" s="339"/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</row>
    <row r="71" spans="1:13" ht="12.75" customHeight="1">
      <c r="A71" s="339"/>
      <c r="B71" s="339"/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</row>
    <row r="72" spans="1:13" ht="12.75" customHeight="1">
      <c r="A72" s="339"/>
      <c r="B72" s="339"/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</row>
    <row r="73" spans="1:13" ht="12.75" customHeight="1">
      <c r="A73" s="339"/>
      <c r="B73" s="339"/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</row>
    <row r="74" spans="1:13" ht="12.75" customHeight="1">
      <c r="A74" s="339"/>
      <c r="B74" s="339"/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</row>
    <row r="75" spans="1:13" ht="12.75" customHeight="1">
      <c r="A75" s="339"/>
      <c r="B75" s="339"/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</row>
    <row r="76" spans="1:13" ht="12.75" customHeight="1">
      <c r="A76" s="339"/>
      <c r="B76" s="339"/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</row>
    <row r="77" spans="1:13" ht="12.75" customHeight="1">
      <c r="A77" s="339"/>
      <c r="B77" s="339"/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</row>
    <row r="78" spans="1:13" ht="12.75" customHeight="1">
      <c r="A78" s="339"/>
      <c r="B78" s="339"/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</row>
    <row r="79" spans="1:13" ht="12.75" customHeight="1">
      <c r="A79" s="339"/>
      <c r="B79" s="339"/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</row>
    <row r="80" spans="1:13" ht="12.75" customHeight="1">
      <c r="A80" s="339"/>
      <c r="B80" s="339"/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</row>
    <row r="81" spans="1:13" ht="12.75" customHeight="1">
      <c r="A81" s="339"/>
      <c r="B81" s="339"/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</row>
    <row r="82" spans="1:13" ht="12.75" customHeight="1">
      <c r="A82" s="339"/>
      <c r="B82" s="339"/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</row>
    <row r="83" spans="1:13" ht="12.75" customHeight="1">
      <c r="A83" s="339"/>
      <c r="B83" s="339"/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</row>
    <row r="84" spans="1:13" ht="12.75" customHeight="1">
      <c r="A84" s="339"/>
      <c r="B84" s="339"/>
      <c r="C84" s="339"/>
      <c r="D84" s="339"/>
      <c r="E84" s="339"/>
      <c r="F84" s="339"/>
      <c r="G84" s="339"/>
      <c r="H84" s="339"/>
      <c r="I84" s="339"/>
      <c r="J84" s="339"/>
      <c r="K84" s="339"/>
      <c r="L84" s="339"/>
      <c r="M84" s="339"/>
    </row>
    <row r="85" spans="1:13" ht="12.75" customHeight="1">
      <c r="A85" s="339"/>
      <c r="B85" s="339"/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</row>
    <row r="86" spans="1:13" ht="12.75" customHeight="1">
      <c r="A86" s="339"/>
      <c r="B86" s="339"/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</row>
    <row r="87" spans="1:13" ht="12.75" customHeight="1">
      <c r="A87" s="339"/>
      <c r="B87" s="339"/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/>
    </row>
    <row r="88" spans="1:13" ht="12.75" customHeight="1">
      <c r="A88" s="339"/>
      <c r="B88" s="339"/>
      <c r="C88" s="339"/>
      <c r="D88" s="339"/>
      <c r="E88" s="339"/>
      <c r="F88" s="339"/>
      <c r="G88" s="339"/>
      <c r="H88" s="339"/>
      <c r="I88" s="339"/>
      <c r="J88" s="339"/>
      <c r="K88" s="339"/>
      <c r="L88" s="339"/>
      <c r="M88" s="339"/>
    </row>
    <row r="89" spans="1:13" ht="12.75" customHeight="1">
      <c r="A89" s="339"/>
      <c r="B89" s="339"/>
      <c r="C89" s="339"/>
      <c r="D89" s="339"/>
      <c r="E89" s="339"/>
      <c r="F89" s="339"/>
      <c r="G89" s="339"/>
      <c r="H89" s="339"/>
      <c r="I89" s="339"/>
      <c r="J89" s="339"/>
      <c r="K89" s="339"/>
      <c r="L89" s="339"/>
      <c r="M89" s="339"/>
    </row>
    <row r="90" spans="1:13" ht="12.75" customHeight="1">
      <c r="A90" s="339"/>
      <c r="B90" s="339"/>
      <c r="C90" s="339"/>
      <c r="D90" s="339"/>
      <c r="E90" s="339"/>
      <c r="F90" s="339"/>
      <c r="G90" s="339"/>
      <c r="H90" s="339"/>
      <c r="I90" s="339"/>
      <c r="J90" s="339"/>
      <c r="K90" s="339"/>
      <c r="L90" s="339"/>
      <c r="M90" s="339"/>
    </row>
    <row r="91" spans="1:13" ht="12.75" customHeight="1">
      <c r="A91" s="339"/>
      <c r="B91" s="339"/>
      <c r="C91" s="339"/>
      <c r="D91" s="339"/>
      <c r="E91" s="339"/>
      <c r="F91" s="339"/>
      <c r="G91" s="339"/>
      <c r="H91" s="339"/>
      <c r="I91" s="339"/>
      <c r="J91" s="339"/>
      <c r="K91" s="339"/>
      <c r="L91" s="339"/>
      <c r="M91" s="339"/>
    </row>
    <row r="92" spans="1:13" ht="12.75" customHeight="1">
      <c r="A92" s="339"/>
      <c r="B92" s="339"/>
      <c r="C92" s="339"/>
      <c r="D92" s="339"/>
      <c r="E92" s="339"/>
      <c r="F92" s="339"/>
      <c r="G92" s="339"/>
      <c r="H92" s="339"/>
      <c r="I92" s="339"/>
      <c r="J92" s="339"/>
      <c r="K92" s="339"/>
      <c r="L92" s="339"/>
      <c r="M92" s="339"/>
    </row>
    <row r="93" spans="1:13" ht="12.75" customHeight="1">
      <c r="A93" s="339"/>
      <c r="B93" s="339"/>
      <c r="C93" s="339"/>
      <c r="D93" s="339"/>
      <c r="E93" s="339"/>
      <c r="F93" s="339"/>
      <c r="G93" s="339"/>
      <c r="H93" s="339"/>
      <c r="I93" s="339"/>
      <c r="J93" s="339"/>
      <c r="K93" s="339"/>
      <c r="L93" s="339"/>
      <c r="M93" s="339"/>
    </row>
    <row r="94" spans="1:13" ht="12.75" customHeight="1">
      <c r="A94" s="339"/>
      <c r="B94" s="339"/>
      <c r="C94" s="339"/>
      <c r="D94" s="339"/>
      <c r="E94" s="339"/>
      <c r="F94" s="339"/>
      <c r="G94" s="339"/>
      <c r="H94" s="339"/>
      <c r="I94" s="339"/>
      <c r="J94" s="339"/>
      <c r="K94" s="339"/>
      <c r="L94" s="339"/>
      <c r="M94" s="339"/>
    </row>
    <row r="95" spans="1:13" ht="12.75" customHeight="1">
      <c r="A95" s="339"/>
      <c r="B95" s="339"/>
      <c r="C95" s="339"/>
      <c r="D95" s="339"/>
      <c r="E95" s="339"/>
      <c r="F95" s="339"/>
      <c r="G95" s="339"/>
      <c r="H95" s="339"/>
      <c r="I95" s="339"/>
      <c r="J95" s="339"/>
      <c r="K95" s="339"/>
      <c r="L95" s="339"/>
      <c r="M95" s="339"/>
    </row>
    <row r="96" spans="1:13" ht="12.75" customHeight="1">
      <c r="A96" s="339"/>
      <c r="B96" s="339"/>
      <c r="C96" s="339"/>
      <c r="D96" s="339"/>
      <c r="E96" s="339"/>
      <c r="F96" s="339"/>
      <c r="G96" s="339"/>
      <c r="H96" s="339"/>
      <c r="I96" s="339"/>
      <c r="J96" s="339"/>
      <c r="K96" s="339"/>
      <c r="L96" s="339"/>
      <c r="M96" s="339"/>
    </row>
    <row r="97" spans="1:13" ht="12.75" customHeight="1">
      <c r="A97" s="339"/>
      <c r="B97" s="339"/>
      <c r="C97" s="339"/>
      <c r="D97" s="339"/>
      <c r="E97" s="339"/>
      <c r="F97" s="339"/>
      <c r="G97" s="339"/>
      <c r="H97" s="339"/>
      <c r="I97" s="339"/>
      <c r="J97" s="339"/>
      <c r="K97" s="339"/>
      <c r="L97" s="339"/>
      <c r="M97" s="339"/>
    </row>
    <row r="98" spans="1:13" ht="12.75" customHeight="1">
      <c r="A98" s="339"/>
      <c r="B98" s="339"/>
      <c r="C98" s="339"/>
      <c r="D98" s="339"/>
      <c r="E98" s="339"/>
      <c r="F98" s="339"/>
      <c r="G98" s="339"/>
      <c r="H98" s="339"/>
      <c r="I98" s="339"/>
      <c r="J98" s="339"/>
      <c r="K98" s="339"/>
      <c r="L98" s="339"/>
      <c r="M98" s="339"/>
    </row>
    <row r="99" spans="1:13" ht="12.75" customHeight="1">
      <c r="A99" s="339"/>
      <c r="B99" s="339"/>
      <c r="C99" s="339"/>
      <c r="D99" s="339"/>
      <c r="E99" s="339"/>
      <c r="F99" s="339"/>
      <c r="G99" s="339"/>
      <c r="H99" s="339"/>
      <c r="I99" s="339"/>
      <c r="J99" s="339"/>
      <c r="K99" s="339"/>
      <c r="L99" s="339"/>
      <c r="M99" s="339"/>
    </row>
    <row r="100" spans="1:13" ht="12.75" customHeight="1">
      <c r="A100" s="339"/>
      <c r="B100" s="339"/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</row>
    <row r="101" spans="1:13" ht="12.75" customHeight="1">
      <c r="A101" s="339"/>
      <c r="B101" s="339"/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</row>
    <row r="102" spans="1:13" ht="12.75" customHeight="1">
      <c r="A102" s="339"/>
      <c r="B102" s="339"/>
      <c r="C102" s="339"/>
      <c r="D102" s="339"/>
      <c r="E102" s="339"/>
      <c r="F102" s="339"/>
      <c r="G102" s="339"/>
      <c r="H102" s="339"/>
      <c r="I102" s="339"/>
      <c r="J102" s="339"/>
      <c r="K102" s="339"/>
      <c r="L102" s="339"/>
      <c r="M102" s="339"/>
    </row>
    <row r="103" spans="1:13" ht="12.75" customHeight="1">
      <c r="A103" s="339"/>
      <c r="B103" s="339"/>
      <c r="C103" s="339"/>
      <c r="D103" s="339"/>
      <c r="E103" s="339"/>
      <c r="F103" s="339"/>
      <c r="G103" s="339"/>
      <c r="H103" s="339"/>
      <c r="I103" s="339"/>
      <c r="J103" s="339"/>
      <c r="K103" s="339"/>
      <c r="L103" s="339"/>
      <c r="M103" s="339"/>
    </row>
    <row r="104" spans="1:13" ht="12.75" customHeight="1">
      <c r="A104" s="339"/>
      <c r="B104" s="339"/>
      <c r="C104" s="339"/>
      <c r="D104" s="339"/>
      <c r="E104" s="339"/>
      <c r="F104" s="339"/>
      <c r="G104" s="339"/>
      <c r="H104" s="339"/>
      <c r="I104" s="339"/>
      <c r="J104" s="339"/>
      <c r="K104" s="339"/>
      <c r="L104" s="339"/>
      <c r="M104" s="339"/>
    </row>
    <row r="105" spans="1:13" ht="12.75" customHeight="1">
      <c r="A105" s="339"/>
      <c r="B105" s="339"/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</row>
    <row r="106" spans="1:13" ht="12.75" customHeight="1">
      <c r="A106" s="339"/>
      <c r="B106" s="339"/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</row>
    <row r="107" spans="1:13" ht="12.75" customHeight="1">
      <c r="A107" s="339"/>
      <c r="B107" s="339"/>
      <c r="C107" s="339"/>
      <c r="D107" s="339"/>
      <c r="E107" s="339"/>
      <c r="F107" s="339"/>
      <c r="G107" s="339"/>
      <c r="H107" s="339"/>
      <c r="I107" s="339"/>
      <c r="J107" s="339"/>
      <c r="K107" s="339"/>
      <c r="L107" s="339"/>
      <c r="M107" s="339"/>
    </row>
    <row r="108" spans="1:13" ht="12.75" customHeight="1">
      <c r="A108" s="339"/>
      <c r="B108" s="339"/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</row>
    <row r="109" spans="1:13" ht="12.75" customHeight="1">
      <c r="A109" s="339"/>
      <c r="B109" s="339"/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</row>
    <row r="110" spans="1:13" ht="12.75" customHeight="1">
      <c r="A110" s="339"/>
      <c r="B110" s="339"/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</row>
    <row r="111" spans="1:13" ht="12.75" customHeight="1">
      <c r="A111" s="339"/>
      <c r="B111" s="339"/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</row>
    <row r="112" spans="1:13" ht="12.75" customHeight="1">
      <c r="A112" s="339"/>
      <c r="B112" s="339"/>
      <c r="C112" s="339"/>
      <c r="D112" s="339"/>
      <c r="E112" s="339"/>
      <c r="F112" s="339"/>
      <c r="G112" s="339"/>
      <c r="H112" s="339"/>
      <c r="I112" s="339"/>
      <c r="J112" s="339"/>
      <c r="K112" s="339"/>
      <c r="L112" s="339"/>
      <c r="M112" s="339"/>
    </row>
    <row r="113" spans="1:13" ht="12.75" customHeight="1">
      <c r="A113" s="339"/>
      <c r="B113" s="339"/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</row>
    <row r="114" spans="1:13" ht="12.75" customHeight="1">
      <c r="A114" s="339"/>
      <c r="B114" s="339"/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</row>
    <row r="115" spans="1:13" ht="12.75" customHeight="1">
      <c r="A115" s="339"/>
      <c r="B115" s="339"/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</row>
    <row r="116" spans="1:13" ht="12.75" customHeight="1">
      <c r="A116" s="339"/>
      <c r="B116" s="339"/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</row>
    <row r="117" spans="1:13" ht="12.75" customHeight="1">
      <c r="A117" s="339"/>
      <c r="B117" s="339"/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</row>
    <row r="118" spans="1:13" ht="12.75" customHeight="1">
      <c r="A118" s="339"/>
      <c r="B118" s="339"/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</row>
    <row r="119" spans="1:13" ht="12.75" customHeight="1">
      <c r="A119" s="339"/>
      <c r="B119" s="339"/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</row>
    <row r="120" spans="1:13" ht="12.75" customHeight="1">
      <c r="A120" s="339"/>
      <c r="B120" s="339"/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</row>
    <row r="121" spans="1:13" ht="12.75" customHeight="1">
      <c r="A121" s="339"/>
      <c r="B121" s="339"/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</row>
    <row r="122" spans="1:13" ht="12.75" customHeight="1">
      <c r="A122" s="339"/>
      <c r="B122" s="339"/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</row>
    <row r="123" spans="1:13" ht="12.75" customHeight="1">
      <c r="A123" s="339"/>
      <c r="B123" s="339"/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</row>
    <row r="124" spans="1:13" ht="12.75" customHeight="1">
      <c r="A124" s="339"/>
      <c r="B124" s="339"/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</row>
    <row r="125" spans="1:13" ht="12.75" customHeight="1">
      <c r="A125" s="339"/>
      <c r="B125" s="339"/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</row>
    <row r="126" spans="1:13" ht="12.75" customHeight="1">
      <c r="A126" s="339"/>
      <c r="B126" s="339"/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</row>
    <row r="127" spans="1:13" ht="12.75" customHeight="1">
      <c r="A127" s="339"/>
      <c r="B127" s="339"/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</row>
    <row r="128" spans="1:13" ht="12.75" customHeight="1">
      <c r="A128" s="339"/>
      <c r="B128" s="339"/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</row>
    <row r="129" spans="1:13" ht="12.75" customHeight="1">
      <c r="A129" s="339"/>
      <c r="B129" s="339"/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</row>
    <row r="130" spans="1:13" ht="12.75" customHeight="1">
      <c r="A130" s="339"/>
      <c r="B130" s="339"/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</row>
    <row r="131" spans="1:13" ht="12.75" customHeight="1">
      <c r="A131" s="339"/>
      <c r="B131" s="339"/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</row>
    <row r="132" spans="1:13" ht="12.75" customHeight="1">
      <c r="A132" s="339"/>
      <c r="B132" s="339"/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</row>
    <row r="133" spans="1:13" ht="12.75" customHeight="1">
      <c r="A133" s="339"/>
      <c r="B133" s="339"/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</row>
    <row r="134" spans="1:13" ht="12.75" customHeight="1">
      <c r="A134" s="339"/>
      <c r="B134" s="339"/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</row>
    <row r="135" spans="1:13" ht="12.75" customHeight="1">
      <c r="A135" s="339"/>
      <c r="B135" s="339"/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</row>
    <row r="136" spans="1:13" ht="12.75" customHeight="1">
      <c r="A136" s="339"/>
      <c r="B136" s="339"/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</row>
    <row r="137" spans="1:13" ht="12.75" customHeight="1">
      <c r="A137" s="339"/>
      <c r="B137" s="339"/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</row>
    <row r="138" spans="1:13" ht="12.75" customHeight="1">
      <c r="A138" s="339"/>
      <c r="B138" s="339"/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</row>
    <row r="139" spans="1:13" ht="12.75" customHeight="1">
      <c r="A139" s="339"/>
      <c r="B139" s="339"/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</row>
    <row r="140" spans="1:13" ht="12.75" customHeight="1">
      <c r="A140" s="339"/>
      <c r="B140" s="339"/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</row>
    <row r="141" spans="1:13" ht="12.75" customHeight="1">
      <c r="A141" s="339"/>
      <c r="B141" s="339"/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</row>
    <row r="142" spans="1:13" ht="12.75" customHeight="1">
      <c r="A142" s="339"/>
      <c r="B142" s="339"/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</row>
    <row r="143" spans="1:13" ht="12.75" customHeight="1">
      <c r="A143" s="339"/>
      <c r="B143" s="339"/>
      <c r="C143" s="339"/>
      <c r="D143" s="339"/>
      <c r="E143" s="339"/>
      <c r="F143" s="339"/>
      <c r="G143" s="339"/>
      <c r="H143" s="339"/>
      <c r="I143" s="339"/>
      <c r="J143" s="339"/>
      <c r="K143" s="339"/>
      <c r="L143" s="339"/>
      <c r="M143" s="339"/>
    </row>
    <row r="144" spans="1:13" ht="12.75" customHeight="1">
      <c r="A144" s="339"/>
      <c r="B144" s="339"/>
      <c r="C144" s="339"/>
      <c r="D144" s="339"/>
      <c r="E144" s="339"/>
      <c r="F144" s="339"/>
      <c r="G144" s="339"/>
      <c r="H144" s="339"/>
      <c r="I144" s="339"/>
      <c r="J144" s="339"/>
      <c r="K144" s="339"/>
      <c r="L144" s="339"/>
      <c r="M144" s="339"/>
    </row>
    <row r="145" spans="1:13" ht="12.75" customHeight="1">
      <c r="A145" s="339"/>
      <c r="B145" s="339"/>
      <c r="C145" s="339"/>
      <c r="D145" s="339"/>
      <c r="E145" s="339"/>
      <c r="F145" s="339"/>
      <c r="G145" s="339"/>
      <c r="H145" s="339"/>
      <c r="I145" s="339"/>
      <c r="J145" s="339"/>
      <c r="K145" s="339"/>
      <c r="L145" s="339"/>
      <c r="M145" s="339"/>
    </row>
    <row r="146" spans="1:13" ht="12.75" customHeight="1">
      <c r="A146" s="339"/>
      <c r="B146" s="339"/>
      <c r="C146" s="339"/>
      <c r="D146" s="339"/>
      <c r="E146" s="339"/>
      <c r="F146" s="339"/>
      <c r="G146" s="339"/>
      <c r="H146" s="339"/>
      <c r="I146" s="339"/>
      <c r="J146" s="339"/>
      <c r="K146" s="339"/>
      <c r="L146" s="339"/>
      <c r="M146" s="339"/>
    </row>
    <row r="147" spans="1:13" ht="12.75" customHeight="1">
      <c r="A147" s="339"/>
      <c r="B147" s="339"/>
      <c r="C147" s="339"/>
      <c r="D147" s="339"/>
      <c r="E147" s="339"/>
      <c r="F147" s="339"/>
      <c r="G147" s="339"/>
      <c r="H147" s="339"/>
      <c r="I147" s="339"/>
      <c r="J147" s="339"/>
      <c r="K147" s="339"/>
      <c r="L147" s="339"/>
      <c r="M147" s="339"/>
    </row>
    <row r="148" spans="1:13" ht="12.75" customHeight="1">
      <c r="A148" s="339"/>
      <c r="B148" s="339"/>
      <c r="C148" s="339"/>
      <c r="D148" s="339"/>
      <c r="E148" s="339"/>
      <c r="F148" s="339"/>
      <c r="G148" s="339"/>
      <c r="H148" s="339"/>
      <c r="I148" s="339"/>
      <c r="J148" s="339"/>
      <c r="K148" s="339"/>
      <c r="L148" s="339"/>
      <c r="M148" s="339"/>
    </row>
    <row r="149" spans="1:13" ht="12.75" customHeight="1">
      <c r="A149" s="339"/>
      <c r="B149" s="339"/>
      <c r="C149" s="339"/>
      <c r="D149" s="339"/>
      <c r="E149" s="339"/>
      <c r="F149" s="339"/>
      <c r="G149" s="339"/>
      <c r="H149" s="339"/>
      <c r="I149" s="339"/>
      <c r="J149" s="339"/>
      <c r="K149" s="339"/>
      <c r="L149" s="339"/>
      <c r="M149" s="339"/>
    </row>
    <row r="150" spans="1:13" ht="12.75" customHeight="1">
      <c r="A150" s="339"/>
      <c r="B150" s="339"/>
      <c r="C150" s="339"/>
      <c r="D150" s="339"/>
      <c r="E150" s="339"/>
      <c r="F150" s="339"/>
      <c r="G150" s="339"/>
      <c r="H150" s="339"/>
      <c r="I150" s="339"/>
      <c r="J150" s="339"/>
      <c r="K150" s="339"/>
      <c r="L150" s="339"/>
      <c r="M150" s="339"/>
    </row>
    <row r="151" spans="1:13" ht="12.75" customHeight="1">
      <c r="A151" s="339"/>
      <c r="B151" s="339"/>
      <c r="C151" s="339"/>
      <c r="D151" s="339"/>
      <c r="E151" s="339"/>
      <c r="F151" s="339"/>
      <c r="G151" s="339"/>
      <c r="H151" s="339"/>
      <c r="I151" s="339"/>
      <c r="J151" s="339"/>
      <c r="K151" s="339"/>
      <c r="L151" s="339"/>
      <c r="M151" s="339"/>
    </row>
    <row r="152" spans="1:13" ht="12.75" customHeight="1">
      <c r="A152" s="339"/>
      <c r="B152" s="339"/>
      <c r="C152" s="339"/>
      <c r="D152" s="339"/>
      <c r="E152" s="339"/>
      <c r="F152" s="339"/>
      <c r="G152" s="339"/>
      <c r="H152" s="339"/>
      <c r="I152" s="339"/>
      <c r="J152" s="339"/>
      <c r="K152" s="339"/>
      <c r="L152" s="339"/>
      <c r="M152" s="339"/>
    </row>
    <row r="153" spans="1:13" ht="12.75" customHeight="1">
      <c r="A153" s="339"/>
      <c r="B153" s="339"/>
      <c r="C153" s="339"/>
      <c r="D153" s="339"/>
      <c r="E153" s="339"/>
      <c r="F153" s="339"/>
      <c r="G153" s="339"/>
      <c r="H153" s="339"/>
      <c r="I153" s="339"/>
      <c r="J153" s="339"/>
      <c r="K153" s="339"/>
      <c r="L153" s="339"/>
      <c r="M153" s="339"/>
    </row>
    <row r="154" spans="1:13" ht="12.75" customHeight="1">
      <c r="A154" s="339"/>
      <c r="B154" s="339"/>
      <c r="C154" s="339"/>
      <c r="D154" s="339"/>
      <c r="E154" s="339"/>
      <c r="F154" s="339"/>
      <c r="G154" s="339"/>
      <c r="H154" s="339"/>
      <c r="I154" s="339"/>
      <c r="J154" s="339"/>
      <c r="K154" s="339"/>
      <c r="L154" s="339"/>
      <c r="M154" s="339"/>
    </row>
    <row r="155" spans="1:13" ht="12.75" customHeight="1">
      <c r="A155" s="339"/>
      <c r="B155" s="339"/>
      <c r="C155" s="339"/>
      <c r="D155" s="339"/>
      <c r="E155" s="339"/>
      <c r="F155" s="339"/>
      <c r="G155" s="339"/>
      <c r="H155" s="339"/>
      <c r="I155" s="339"/>
      <c r="J155" s="339"/>
      <c r="K155" s="339"/>
      <c r="L155" s="339"/>
      <c r="M155" s="339"/>
    </row>
    <row r="156" spans="1:13" ht="12.75" customHeight="1">
      <c r="A156" s="339"/>
      <c r="B156" s="339"/>
      <c r="C156" s="339"/>
      <c r="D156" s="339"/>
      <c r="E156" s="339"/>
      <c r="F156" s="339"/>
      <c r="G156" s="339"/>
      <c r="H156" s="339"/>
      <c r="I156" s="339"/>
      <c r="J156" s="339"/>
      <c r="K156" s="339"/>
      <c r="L156" s="339"/>
      <c r="M156" s="339"/>
    </row>
    <row r="157" spans="1:13" ht="12.75" customHeight="1">
      <c r="A157" s="339"/>
      <c r="B157" s="339"/>
      <c r="C157" s="339"/>
      <c r="D157" s="339"/>
      <c r="E157" s="339"/>
      <c r="F157" s="339"/>
      <c r="G157" s="339"/>
      <c r="H157" s="339"/>
      <c r="I157" s="339"/>
      <c r="J157" s="339"/>
      <c r="K157" s="339"/>
      <c r="L157" s="339"/>
      <c r="M157" s="339"/>
    </row>
    <row r="158" spans="1:13" ht="12.75" customHeight="1">
      <c r="A158" s="339"/>
      <c r="B158" s="339"/>
      <c r="C158" s="339"/>
      <c r="D158" s="339"/>
      <c r="E158" s="339"/>
      <c r="F158" s="339"/>
      <c r="G158" s="339"/>
      <c r="H158" s="339"/>
      <c r="I158" s="339"/>
      <c r="J158" s="339"/>
      <c r="K158" s="339"/>
      <c r="L158" s="339"/>
      <c r="M158" s="339"/>
    </row>
    <row r="159" spans="1:13" ht="12.75" customHeight="1">
      <c r="A159" s="339"/>
      <c r="B159" s="339"/>
      <c r="C159" s="339"/>
      <c r="D159" s="339"/>
      <c r="E159" s="339"/>
      <c r="F159" s="339"/>
      <c r="G159" s="339"/>
      <c r="H159" s="339"/>
      <c r="I159" s="339"/>
      <c r="J159" s="339"/>
      <c r="K159" s="339"/>
      <c r="L159" s="339"/>
      <c r="M159" s="339"/>
    </row>
    <row r="160" spans="1:13" ht="12.75" customHeight="1">
      <c r="A160" s="339"/>
      <c r="B160" s="339"/>
      <c r="C160" s="339"/>
      <c r="D160" s="339"/>
      <c r="E160" s="339"/>
    </row>
    <row r="161" spans="1:5" ht="12.75" customHeight="1">
      <c r="A161" s="339"/>
      <c r="B161" s="339"/>
      <c r="C161" s="339"/>
      <c r="D161" s="339"/>
      <c r="E161" s="339"/>
    </row>
    <row r="162" spans="1:5" ht="12.75" customHeight="1">
      <c r="A162" s="339"/>
      <c r="B162" s="339"/>
      <c r="C162" s="339"/>
      <c r="D162" s="339"/>
      <c r="E162" s="339"/>
    </row>
    <row r="163" spans="1:5" ht="12.75" customHeight="1">
      <c r="A163" s="339"/>
      <c r="B163" s="339"/>
      <c r="C163" s="339"/>
      <c r="D163" s="339"/>
      <c r="E163" s="339"/>
    </row>
    <row r="164" spans="1:5" ht="12.75" customHeight="1">
      <c r="A164" s="339"/>
      <c r="B164" s="339"/>
      <c r="C164" s="339"/>
      <c r="D164" s="339"/>
      <c r="E164" s="339"/>
    </row>
    <row r="165" spans="1:5" ht="12.75" customHeight="1">
      <c r="A165" s="339"/>
      <c r="B165" s="339"/>
      <c r="C165" s="339"/>
      <c r="D165" s="339"/>
      <c r="E165" s="339"/>
    </row>
    <row r="166" spans="1:5" ht="12.75" customHeight="1">
      <c r="A166" s="339"/>
      <c r="B166" s="339"/>
      <c r="C166" s="339"/>
      <c r="D166" s="339"/>
      <c r="E166" s="339"/>
    </row>
    <row r="167" spans="1:5" ht="12.75" customHeight="1">
      <c r="A167" s="339"/>
      <c r="B167" s="339"/>
      <c r="C167" s="339"/>
      <c r="D167" s="339"/>
      <c r="E167" s="339"/>
    </row>
    <row r="168" spans="1:5" ht="12.75" customHeight="1">
      <c r="A168" s="339"/>
      <c r="B168" s="339"/>
      <c r="C168" s="339"/>
      <c r="D168" s="339"/>
      <c r="E168" s="339"/>
    </row>
    <row r="169" spans="1:5" ht="12.75" customHeight="1">
      <c r="A169" s="339"/>
      <c r="B169" s="339"/>
      <c r="C169" s="339"/>
      <c r="D169" s="339"/>
      <c r="E169" s="339"/>
    </row>
    <row r="170" spans="1:5" ht="12.75" customHeight="1">
      <c r="A170" s="339"/>
      <c r="B170" s="339"/>
      <c r="C170" s="339"/>
      <c r="D170" s="339"/>
      <c r="E170" s="339"/>
    </row>
    <row r="171" spans="1:5" ht="12.75" customHeight="1">
      <c r="A171" s="339"/>
      <c r="B171" s="339"/>
      <c r="C171" s="339"/>
      <c r="D171" s="339"/>
      <c r="E171" s="339"/>
    </row>
    <row r="172" spans="1:5" ht="12.75" customHeight="1">
      <c r="A172" s="339"/>
      <c r="B172" s="339"/>
      <c r="C172" s="339"/>
      <c r="D172" s="339"/>
      <c r="E172" s="339"/>
    </row>
    <row r="173" spans="1:5" ht="12.75" customHeight="1">
      <c r="A173" s="339"/>
      <c r="B173" s="339"/>
      <c r="C173" s="339"/>
      <c r="D173" s="339"/>
      <c r="E173" s="339"/>
    </row>
    <row r="174" spans="1:5" ht="12.75" customHeight="1">
      <c r="A174" s="339"/>
      <c r="B174" s="339"/>
      <c r="C174" s="339"/>
      <c r="D174" s="339"/>
      <c r="E174" s="339"/>
    </row>
    <row r="175" spans="1:5" ht="12.75" customHeight="1">
      <c r="A175" s="339"/>
      <c r="B175" s="339"/>
      <c r="C175" s="339"/>
      <c r="D175" s="339"/>
      <c r="E175" s="339"/>
    </row>
    <row r="176" spans="1:5" ht="12.75" customHeight="1">
      <c r="A176" s="339"/>
      <c r="B176" s="339"/>
      <c r="C176" s="339"/>
      <c r="D176" s="339"/>
      <c r="E176" s="339"/>
    </row>
    <row r="177" spans="1:5" ht="12.75" customHeight="1">
      <c r="A177" s="339"/>
      <c r="B177" s="339"/>
      <c r="C177" s="339"/>
      <c r="D177" s="339"/>
      <c r="E177" s="339"/>
    </row>
    <row r="178" spans="1:5" ht="12.75" customHeight="1">
      <c r="A178" s="339"/>
      <c r="B178" s="339"/>
      <c r="C178" s="339"/>
      <c r="D178" s="339"/>
      <c r="E178" s="339"/>
    </row>
    <row r="179" spans="1:5" ht="12.75" customHeight="1">
      <c r="A179" s="339"/>
      <c r="B179" s="339"/>
      <c r="C179" s="339"/>
      <c r="D179" s="339"/>
      <c r="E179" s="339"/>
    </row>
    <row r="180" spans="1:5" ht="12.75" customHeight="1">
      <c r="A180" s="339"/>
      <c r="B180" s="339"/>
      <c r="C180" s="339"/>
      <c r="D180" s="339"/>
      <c r="E180" s="339"/>
    </row>
    <row r="181" spans="1:5" ht="12.75" customHeight="1">
      <c r="A181" s="339"/>
      <c r="B181" s="339"/>
      <c r="C181" s="339"/>
      <c r="D181" s="339"/>
      <c r="E181" s="339"/>
    </row>
    <row r="182" spans="1:5" ht="12.75" customHeight="1">
      <c r="A182" s="339"/>
      <c r="B182" s="339"/>
      <c r="C182" s="339"/>
      <c r="D182" s="339"/>
      <c r="E182" s="339"/>
    </row>
    <row r="183" spans="1:5" ht="12.75" customHeight="1">
      <c r="A183" s="339"/>
      <c r="B183" s="339"/>
      <c r="C183" s="339"/>
      <c r="D183" s="339"/>
      <c r="E183" s="339"/>
    </row>
    <row r="184" spans="1:5" ht="12.75" customHeight="1">
      <c r="A184" s="339"/>
      <c r="B184" s="339"/>
      <c r="C184" s="339"/>
      <c r="D184" s="339"/>
      <c r="E184" s="339"/>
    </row>
    <row r="185" spans="1:5" ht="12.75" customHeight="1">
      <c r="A185" s="339"/>
      <c r="B185" s="339"/>
      <c r="C185" s="339"/>
      <c r="D185" s="339"/>
      <c r="E185" s="339"/>
    </row>
    <row r="186" spans="1:5" ht="12.75" customHeight="1">
      <c r="A186" s="339"/>
      <c r="B186" s="339"/>
      <c r="C186" s="339"/>
      <c r="D186" s="339"/>
      <c r="E186" s="339"/>
    </row>
    <row r="187" spans="1:5" ht="12.75" customHeight="1">
      <c r="A187" s="339"/>
      <c r="B187" s="339"/>
      <c r="C187" s="339"/>
      <c r="D187" s="339"/>
      <c r="E187" s="339"/>
    </row>
    <row r="188" spans="1:5" ht="12.75" customHeight="1">
      <c r="A188" s="339"/>
      <c r="B188" s="339"/>
      <c r="C188" s="339"/>
      <c r="D188" s="339"/>
      <c r="E188" s="339"/>
    </row>
    <row r="189" spans="1:5" ht="12.75" customHeight="1">
      <c r="A189" s="339"/>
      <c r="B189" s="339"/>
      <c r="C189" s="339"/>
      <c r="D189" s="339"/>
      <c r="E189" s="339"/>
    </row>
    <row r="190" spans="1:5" ht="12.75" customHeight="1">
      <c r="A190" s="339"/>
      <c r="B190" s="339"/>
      <c r="C190" s="339"/>
      <c r="D190" s="339"/>
      <c r="E190" s="339"/>
    </row>
    <row r="191" spans="1:5" ht="12.75" customHeight="1">
      <c r="A191" s="339"/>
      <c r="B191" s="339"/>
      <c r="C191" s="339"/>
      <c r="D191" s="339"/>
      <c r="E191" s="339"/>
    </row>
    <row r="192" spans="1:5" ht="12.75" customHeight="1">
      <c r="A192" s="339"/>
      <c r="B192" s="339"/>
      <c r="C192" s="339"/>
      <c r="D192" s="339"/>
      <c r="E192" s="339"/>
    </row>
    <row r="193" spans="1:5" ht="12.75" customHeight="1">
      <c r="A193" s="339"/>
      <c r="B193" s="339"/>
      <c r="C193" s="339"/>
      <c r="D193" s="339"/>
      <c r="E193" s="339"/>
    </row>
    <row r="194" spans="1:5" ht="12.75" customHeight="1">
      <c r="A194" s="339"/>
      <c r="B194" s="339"/>
      <c r="C194" s="339"/>
      <c r="D194" s="339"/>
      <c r="E194" s="339"/>
    </row>
    <row r="195" spans="1:5" ht="12.75" customHeight="1">
      <c r="A195" s="339"/>
      <c r="B195" s="339"/>
      <c r="C195" s="339"/>
      <c r="D195" s="339"/>
      <c r="E195" s="339"/>
    </row>
    <row r="196" spans="1:5" ht="12.75" customHeight="1">
      <c r="A196" s="339"/>
      <c r="B196" s="339"/>
      <c r="C196" s="339"/>
      <c r="D196" s="339"/>
      <c r="E196" s="339"/>
    </row>
    <row r="197" spans="1:5" ht="12.75" customHeight="1">
      <c r="A197" s="339"/>
      <c r="B197" s="339"/>
      <c r="C197" s="339"/>
      <c r="D197" s="339"/>
      <c r="E197" s="339"/>
    </row>
    <row r="198" spans="1:5" ht="12.75" customHeight="1">
      <c r="A198" s="339"/>
      <c r="B198" s="339"/>
      <c r="C198" s="339"/>
      <c r="D198" s="339"/>
      <c r="E198" s="339"/>
    </row>
    <row r="199" spans="1:5" ht="12.75" customHeight="1">
      <c r="A199" s="339"/>
      <c r="B199" s="339"/>
      <c r="C199" s="339"/>
      <c r="D199" s="339"/>
      <c r="E199" s="339"/>
    </row>
    <row r="200" spans="1:5" ht="12.75" customHeight="1">
      <c r="A200" s="339"/>
      <c r="B200" s="339"/>
      <c r="C200" s="339"/>
      <c r="D200" s="339"/>
      <c r="E200" s="339"/>
    </row>
    <row r="201" spans="1:5" ht="12.75" customHeight="1">
      <c r="A201" s="339"/>
      <c r="B201" s="339"/>
      <c r="C201" s="339"/>
      <c r="D201" s="339"/>
      <c r="E201" s="339"/>
    </row>
    <row r="202" spans="1:5" ht="12.75" customHeight="1">
      <c r="A202" s="339"/>
      <c r="B202" s="339"/>
      <c r="C202" s="339"/>
      <c r="D202" s="339"/>
      <c r="E202" s="339"/>
    </row>
    <row r="203" spans="1:5" ht="12.75" customHeight="1">
      <c r="A203" s="339"/>
      <c r="B203" s="339"/>
      <c r="C203" s="339"/>
      <c r="D203" s="339"/>
      <c r="E203" s="339"/>
    </row>
    <row r="204" spans="1:5" ht="12.75" customHeight="1">
      <c r="A204" s="339"/>
      <c r="B204" s="339"/>
      <c r="C204" s="339"/>
      <c r="D204" s="339"/>
      <c r="E204" s="339"/>
    </row>
    <row r="205" spans="1:5" ht="12.75" customHeight="1">
      <c r="A205" s="339"/>
      <c r="B205" s="339"/>
      <c r="C205" s="339"/>
      <c r="D205" s="339"/>
      <c r="E205" s="339"/>
    </row>
    <row r="206" spans="1:5" ht="12.75" customHeight="1">
      <c r="A206" s="339"/>
      <c r="B206" s="339"/>
      <c r="C206" s="339"/>
      <c r="D206" s="339"/>
      <c r="E206" s="339"/>
    </row>
    <row r="207" spans="1:5" ht="12.75" customHeight="1"/>
    <row r="208" spans="1:5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  <row r="1001" ht="12.75" customHeight="1"/>
    <row r="1002" ht="12.75" customHeight="1"/>
    <row r="1003" ht="12.75" customHeight="1"/>
  </sheetData>
  <sheetProtection algorithmName="SHA-512" hashValue="DsxmhYCriifIyzUFdfUj67Otx1Fuf+wN/V6C7fyNXFRzzm26kFJpxANC5inUL0Hvqc9NcgS+QS/+UggxmbSqTA==" saltValue="A5T9Vg6t30/3VmtuJCYnYg==" spinCount="100000" sheet="1" objects="1" scenarios="1"/>
  <hyperlinks>
    <hyperlink ref="A56" r:id="rId1" xr:uid="{B54206CC-2C52-4FF7-AF6B-A0C547A8ED2B}"/>
  </hyperlinks>
  <pageMargins left="0.78740157499999996" right="0.78740157499999996" top="0.66" bottom="0.64" header="0" footer="0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0033CC"/>
  </sheetPr>
  <dimension ref="A1:Y102"/>
  <sheetViews>
    <sheetView showGridLines="0" showOutlineSymbols="0" topLeftCell="A67" workbookViewId="0">
      <selection activeCell="C102" sqref="C102:V102"/>
    </sheetView>
  </sheetViews>
  <sheetFormatPr baseColWidth="10" defaultColWidth="9.1640625" defaultRowHeight="13"/>
  <cols>
    <col min="1" max="1" width="3.33203125" style="2" customWidth="1"/>
    <col min="2" max="2" width="2.5" style="260" customWidth="1"/>
    <col min="3" max="3" width="11.5" style="2" customWidth="1"/>
    <col min="4" max="4" width="6" style="2" customWidth="1"/>
    <col min="5" max="5" width="15.6640625" style="1" customWidth="1"/>
    <col min="6" max="10" width="3.33203125" style="2" customWidth="1"/>
    <col min="11" max="11" width="15.6640625" style="1" customWidth="1"/>
    <col min="12" max="12" width="14.1640625" style="3" customWidth="1"/>
    <col min="13" max="13" width="3.6640625" style="3" bestFit="1" customWidth="1"/>
    <col min="14" max="14" width="17.6640625" style="2" customWidth="1"/>
    <col min="15" max="22" width="3.5" style="2" customWidth="1"/>
    <col min="23" max="23" width="4.1640625" style="260" customWidth="1"/>
    <col min="24" max="16384" width="9.1640625" style="2"/>
  </cols>
  <sheetData>
    <row r="1" spans="1:25" ht="48.75" customHeight="1" thickBot="1">
      <c r="A1" s="282"/>
      <c r="B1" s="282"/>
      <c r="C1" s="282"/>
      <c r="D1" s="282"/>
      <c r="E1" s="293" t="s">
        <v>70</v>
      </c>
      <c r="F1" s="282"/>
      <c r="G1" s="282"/>
      <c r="H1" s="282"/>
      <c r="I1" s="282"/>
      <c r="J1" s="282"/>
      <c r="K1" s="284"/>
      <c r="L1" s="283"/>
      <c r="M1" s="283"/>
      <c r="N1" s="285"/>
      <c r="O1" s="282"/>
      <c r="P1" s="282"/>
      <c r="Q1" s="282"/>
      <c r="R1" s="282"/>
      <c r="S1" s="282"/>
      <c r="T1" s="282"/>
      <c r="U1" s="282"/>
      <c r="V1" s="282"/>
      <c r="W1" s="282"/>
    </row>
    <row r="2" spans="1:25" ht="27" customHeight="1" thickTop="1">
      <c r="A2" s="256"/>
      <c r="C2" s="394" t="s">
        <v>69</v>
      </c>
      <c r="D2" s="394"/>
      <c r="E2" s="394"/>
      <c r="F2" s="394"/>
      <c r="G2" s="394"/>
      <c r="H2" s="394"/>
      <c r="I2" s="394"/>
      <c r="J2" s="394"/>
      <c r="K2" s="223"/>
      <c r="L2" s="280"/>
      <c r="M2" s="224"/>
      <c r="N2" s="395" t="s">
        <v>0</v>
      </c>
      <c r="O2" s="395"/>
      <c r="P2" s="395"/>
      <c r="Q2" s="395"/>
      <c r="R2" s="395"/>
      <c r="S2" s="395"/>
      <c r="T2" s="395"/>
      <c r="U2" s="395"/>
      <c r="V2" s="395"/>
    </row>
    <row r="3" spans="1:25" ht="24.75" customHeight="1" thickBot="1">
      <c r="A3" s="258"/>
      <c r="B3" s="261"/>
      <c r="C3" s="399" t="s">
        <v>66</v>
      </c>
      <c r="D3" s="399"/>
      <c r="E3" s="399"/>
      <c r="F3" s="399"/>
      <c r="G3" s="399"/>
      <c r="H3" s="399"/>
      <c r="I3" s="399"/>
      <c r="J3" s="399"/>
      <c r="K3" s="222"/>
      <c r="L3" s="281"/>
      <c r="M3" s="225"/>
      <c r="N3" s="398"/>
      <c r="O3" s="398"/>
      <c r="P3" s="398"/>
      <c r="Q3" s="398"/>
      <c r="R3" s="398"/>
      <c r="S3" s="398"/>
      <c r="T3" s="398"/>
      <c r="U3" s="398"/>
      <c r="V3" s="398"/>
      <c r="W3" s="263"/>
    </row>
    <row r="4" spans="1:25" ht="15" customHeight="1" thickTop="1">
      <c r="A4" s="257"/>
      <c r="C4" s="126"/>
      <c r="D4" s="126"/>
      <c r="E4" s="170"/>
      <c r="F4" s="126"/>
      <c r="G4" s="126"/>
      <c r="H4" s="126"/>
      <c r="I4" s="126"/>
      <c r="J4" s="126"/>
      <c r="K4" s="170"/>
      <c r="M4" s="127"/>
      <c r="N4" s="128"/>
      <c r="O4" s="128"/>
      <c r="P4" s="128"/>
      <c r="Q4" s="128"/>
      <c r="R4" s="128"/>
      <c r="S4" s="128"/>
      <c r="T4" s="128"/>
      <c r="U4" s="128"/>
      <c r="V4" s="128"/>
      <c r="W4" s="267"/>
      <c r="Y4" s="313"/>
    </row>
    <row r="5" spans="1:25" ht="16" customHeight="1">
      <c r="A5" s="256"/>
      <c r="C5" s="396" t="s">
        <v>1</v>
      </c>
      <c r="D5" s="396"/>
      <c r="E5" s="396"/>
      <c r="F5" s="55"/>
      <c r="G5" s="397"/>
      <c r="H5" s="397"/>
      <c r="I5" s="397"/>
      <c r="J5" s="55"/>
      <c r="K5" s="56"/>
      <c r="L5" s="55"/>
      <c r="M5" s="57"/>
      <c r="N5" s="56"/>
      <c r="O5" s="58"/>
      <c r="P5" s="58"/>
      <c r="Q5" s="58"/>
      <c r="R5" s="58"/>
      <c r="S5" s="55"/>
      <c r="T5" s="59"/>
      <c r="U5" s="59"/>
      <c r="V5" s="277"/>
    </row>
    <row r="6" spans="1:25" ht="18" customHeight="1">
      <c r="A6" s="256"/>
      <c r="C6" s="115">
        <v>44886</v>
      </c>
      <c r="D6" s="51">
        <v>0.29166666666666669</v>
      </c>
      <c r="E6" s="101" t="str">
        <f>time!A3</f>
        <v>Senegal</v>
      </c>
      <c r="F6" s="83"/>
      <c r="G6" s="52">
        <v>0</v>
      </c>
      <c r="H6" s="53" t="s">
        <v>2</v>
      </c>
      <c r="I6" s="52">
        <v>2</v>
      </c>
      <c r="J6" s="82"/>
      <c r="K6" s="156" t="str">
        <f>time!A4</f>
        <v>Holanda</v>
      </c>
      <c r="L6" s="305" t="s">
        <v>111</v>
      </c>
      <c r="M6" s="54"/>
      <c r="N6" s="375" t="s">
        <v>3</v>
      </c>
      <c r="O6" s="375"/>
      <c r="P6" s="375"/>
      <c r="Q6" s="375"/>
      <c r="R6" s="375"/>
      <c r="S6" s="375"/>
      <c r="T6" s="375"/>
      <c r="U6" s="375"/>
      <c r="V6" s="376"/>
    </row>
    <row r="7" spans="1:25" ht="18" customHeight="1">
      <c r="A7" s="256"/>
      <c r="C7" s="115">
        <v>44886</v>
      </c>
      <c r="D7" s="51">
        <v>0.54166666666666663</v>
      </c>
      <c r="E7" s="101" t="str">
        <f>time!A1</f>
        <v>Qatar</v>
      </c>
      <c r="F7" s="83"/>
      <c r="G7" s="52">
        <v>1</v>
      </c>
      <c r="H7" s="53" t="s">
        <v>2</v>
      </c>
      <c r="I7" s="52">
        <v>1</v>
      </c>
      <c r="J7" s="82"/>
      <c r="K7" s="156" t="str">
        <f>time!A2</f>
        <v>Equador</v>
      </c>
      <c r="L7" s="305" t="s">
        <v>112</v>
      </c>
      <c r="M7" s="179"/>
      <c r="N7" s="16"/>
      <c r="O7" s="129" t="s">
        <v>4</v>
      </c>
      <c r="P7" s="129" t="s">
        <v>5</v>
      </c>
      <c r="Q7" s="129" t="s">
        <v>6</v>
      </c>
      <c r="R7" s="129" t="s">
        <v>7</v>
      </c>
      <c r="S7" s="129" t="s">
        <v>8</v>
      </c>
      <c r="T7" s="129" t="s">
        <v>9</v>
      </c>
      <c r="U7" s="129" t="s">
        <v>10</v>
      </c>
      <c r="V7" s="130" t="s">
        <v>11</v>
      </c>
    </row>
    <row r="8" spans="1:25" ht="18" customHeight="1">
      <c r="A8" s="256"/>
      <c r="C8" s="115">
        <v>44890</v>
      </c>
      <c r="D8" s="51">
        <v>0.41666666666666669</v>
      </c>
      <c r="E8" s="101" t="str">
        <f>time!A1</f>
        <v>Qatar</v>
      </c>
      <c r="F8" s="83"/>
      <c r="G8" s="52">
        <v>2</v>
      </c>
      <c r="H8" s="53" t="s">
        <v>2</v>
      </c>
      <c r="I8" s="52">
        <v>2</v>
      </c>
      <c r="J8" s="82"/>
      <c r="K8" s="156" t="str">
        <f>time!A3</f>
        <v>Senegal</v>
      </c>
      <c r="L8" s="305" t="s">
        <v>111</v>
      </c>
      <c r="M8" s="175">
        <f>IF(P8&gt;0,1,"")</f>
        <v>1</v>
      </c>
      <c r="N8" s="195" t="str">
        <f>IF(N2="www.guiadecompra.com",Jogo!AN5,"erro")</f>
        <v>Holanda</v>
      </c>
      <c r="O8" s="17">
        <f>IF(B5I=Tabela!N2,VLOOKUP(N8,Jogo!$A$5:$I$8,2,FALSE),0)</f>
        <v>9</v>
      </c>
      <c r="P8" s="18">
        <f>IF(D5I=Tabela!N3,VLOOKUP(N8,Jogo!$A$5:$I$8,3,FALSE),0)</f>
        <v>3</v>
      </c>
      <c r="Q8" s="18">
        <f>VLOOKUP(N8,Jogo!$A$5:$I$8,4,FALSE)</f>
        <v>3</v>
      </c>
      <c r="R8" s="18">
        <f>VLOOKUP(N8,Jogo!$A$5:$I$8,5,FALSE)</f>
        <v>0</v>
      </c>
      <c r="S8" s="18">
        <f>VLOOKUP(N8,Jogo!$A$5:$I$8,6,FALSE)</f>
        <v>0</v>
      </c>
      <c r="T8" s="18">
        <f>VLOOKUP(N8,Jogo!$A$5:$I$8,7,FALSE)</f>
        <v>6</v>
      </c>
      <c r="U8" s="18">
        <f>VLOOKUP(N8,Jogo!$A$5:$I$8,8,FALSE)</f>
        <v>1</v>
      </c>
      <c r="V8" s="79">
        <f>VLOOKUP(N8,Jogo!$A$5:$I$8,9,FALSE)</f>
        <v>5</v>
      </c>
    </row>
    <row r="9" spans="1:25" ht="18" customHeight="1">
      <c r="A9" s="256"/>
      <c r="C9" s="115">
        <v>44890</v>
      </c>
      <c r="D9" s="51">
        <v>0.54166666666666663</v>
      </c>
      <c r="E9" s="101" t="str">
        <f>time!A4</f>
        <v>Holanda</v>
      </c>
      <c r="F9" s="83"/>
      <c r="G9" s="52">
        <v>3</v>
      </c>
      <c r="H9" s="53" t="s">
        <v>2</v>
      </c>
      <c r="I9" s="52">
        <v>1</v>
      </c>
      <c r="J9" s="82"/>
      <c r="K9" s="156" t="str">
        <f>time!A2</f>
        <v>Equador</v>
      </c>
      <c r="L9" s="305" t="s">
        <v>113</v>
      </c>
      <c r="M9" s="175">
        <f>IF(P9&gt;0,2,"")</f>
        <v>2</v>
      </c>
      <c r="N9" s="195" t="str">
        <f>IF(N2="www.guiadecompra.com",Jogo!AN6,"erro")</f>
        <v>Equador</v>
      </c>
      <c r="O9" s="17">
        <f>IF(B5I=Tabela!N2,VLOOKUP(N9,Jogo!$A$5:$I$8,2,FALSE),0)</f>
        <v>4</v>
      </c>
      <c r="P9" s="18">
        <f>IF(D5I=Tabela!N3,VLOOKUP(N9,Jogo!$A$5:$I$8,3,FALSE),0)</f>
        <v>3</v>
      </c>
      <c r="Q9" s="18">
        <f>VLOOKUP(N9,Jogo!$A$5:$I$8,4,FALSE)</f>
        <v>1</v>
      </c>
      <c r="R9" s="18">
        <f>VLOOKUP(N9,Jogo!$A$5:$I$8,5,FALSE)</f>
        <v>1</v>
      </c>
      <c r="S9" s="18">
        <f>VLOOKUP(N9,Jogo!$A$5:$I$8,6,FALSE)</f>
        <v>1</v>
      </c>
      <c r="T9" s="18">
        <f>VLOOKUP(N9,Jogo!$A$5:$I$8,7,FALSE)</f>
        <v>3</v>
      </c>
      <c r="U9" s="18">
        <f>VLOOKUP(N9,Jogo!$A$5:$I$8,8,FALSE)</f>
        <v>4</v>
      </c>
      <c r="V9" s="79">
        <f>VLOOKUP(N9,Jogo!$A$5:$I$8,9,FALSE)</f>
        <v>-1</v>
      </c>
    </row>
    <row r="10" spans="1:25" ht="18" customHeight="1">
      <c r="A10" s="256"/>
      <c r="C10" s="115">
        <v>44894</v>
      </c>
      <c r="D10" s="51">
        <v>0.5</v>
      </c>
      <c r="E10" s="101" t="str">
        <f>time!A4</f>
        <v>Holanda</v>
      </c>
      <c r="F10" s="83"/>
      <c r="G10" s="52">
        <v>1</v>
      </c>
      <c r="H10" s="53" t="s">
        <v>2</v>
      </c>
      <c r="I10" s="52">
        <v>0</v>
      </c>
      <c r="J10" s="82"/>
      <c r="K10" s="156" t="str">
        <f>time!A1</f>
        <v>Qatar</v>
      </c>
      <c r="L10" s="305" t="s">
        <v>112</v>
      </c>
      <c r="M10" s="175">
        <f>IF(P10&gt;0,3,"")</f>
        <v>3</v>
      </c>
      <c r="N10" s="2" t="str">
        <f>IF(N2="www.guiadecompra.com",Jogo!AN7,"erro")</f>
        <v>Qatar</v>
      </c>
      <c r="O10" s="17">
        <f>IF(B5I=Tabela!N2,VLOOKUP(N10,Jogo!$A$5:$I$8,2,FALSE),0)</f>
        <v>2</v>
      </c>
      <c r="P10" s="18">
        <f>IF(D5I=Tabela!N3,VLOOKUP(N10,Jogo!$A$5:$I$8,3,FALSE),0)</f>
        <v>3</v>
      </c>
      <c r="Q10" s="18">
        <f>VLOOKUP(N10,Jogo!$A$5:$I$8,4,FALSE)</f>
        <v>0</v>
      </c>
      <c r="R10" s="18">
        <f>VLOOKUP(N10,Jogo!$A$5:$I$8,5,FALSE)</f>
        <v>2</v>
      </c>
      <c r="S10" s="18">
        <f>VLOOKUP(N10,Jogo!$A$5:$I$8,6,FALSE)</f>
        <v>1</v>
      </c>
      <c r="T10" s="18">
        <f>VLOOKUP(N10,Jogo!$A$5:$I$8,7,FALSE)</f>
        <v>3</v>
      </c>
      <c r="U10" s="18">
        <f>VLOOKUP(N10,Jogo!$A$5:$I$8,8,FALSE)</f>
        <v>4</v>
      </c>
      <c r="V10" s="79">
        <f>VLOOKUP(N10,Jogo!$A$5:$I$8,9,FALSE)</f>
        <v>-1</v>
      </c>
    </row>
    <row r="11" spans="1:25" ht="18" customHeight="1">
      <c r="A11" s="256"/>
      <c r="C11" s="115">
        <v>44894</v>
      </c>
      <c r="D11" s="51">
        <v>0.5</v>
      </c>
      <c r="E11" s="101" t="str">
        <f>time!A2</f>
        <v>Equador</v>
      </c>
      <c r="F11" s="83"/>
      <c r="G11" s="52">
        <v>1</v>
      </c>
      <c r="H11" s="53" t="s">
        <v>2</v>
      </c>
      <c r="I11" s="52">
        <v>0</v>
      </c>
      <c r="J11" s="82"/>
      <c r="K11" s="156" t="str">
        <f>time!A3</f>
        <v>Senegal</v>
      </c>
      <c r="L11" s="305" t="s">
        <v>113</v>
      </c>
      <c r="M11" s="176">
        <f>IF(P11&gt;0,4,"")</f>
        <v>4</v>
      </c>
      <c r="N11" s="155" t="str">
        <f>IF(N2="www.guiadecompra.com",Jogo!AN8,"erro")</f>
        <v>Senegal</v>
      </c>
      <c r="O11" s="131">
        <f>IF(B5I=Tabela!N2,VLOOKUP(N11,Jogo!$A$5:$I$8,2,FALSE),0)</f>
        <v>1</v>
      </c>
      <c r="P11" s="80">
        <f>IF(D5I=Tabela!N3,VLOOKUP(N11,Jogo!$A$5:$I$8,3,FALSE),0)</f>
        <v>3</v>
      </c>
      <c r="Q11" s="80">
        <f>VLOOKUP(N11,Jogo!$A$5:$I$8,4,FALSE)</f>
        <v>0</v>
      </c>
      <c r="R11" s="80">
        <f>VLOOKUP(N11,Jogo!$A$5:$I$8,5,FALSE)</f>
        <v>1</v>
      </c>
      <c r="S11" s="80">
        <f>VLOOKUP(N11,Jogo!$A$5:$I$8,6,FALSE)</f>
        <v>2</v>
      </c>
      <c r="T11" s="80">
        <f>VLOOKUP(N11,Jogo!$A$5:$I$8,7,FALSE)</f>
        <v>2</v>
      </c>
      <c r="U11" s="80">
        <f>VLOOKUP(N11,Jogo!$A$5:$I$8,8,FALSE)</f>
        <v>5</v>
      </c>
      <c r="V11" s="81">
        <f>VLOOKUP(N11,Jogo!$A$5:$I$8,9,FALSE)</f>
        <v>-3</v>
      </c>
    </row>
    <row r="12" spans="1:25" ht="16" customHeight="1">
      <c r="A12" s="257"/>
      <c r="C12" s="19"/>
      <c r="D12" s="20"/>
      <c r="E12" s="21"/>
      <c r="F12" s="22"/>
      <c r="G12" s="23"/>
      <c r="H12" s="23"/>
      <c r="I12" s="23"/>
      <c r="J12" s="23"/>
      <c r="K12" s="2"/>
      <c r="L12" s="24"/>
      <c r="M12" s="180"/>
      <c r="O12" s="21"/>
      <c r="P12" s="21"/>
      <c r="Q12" s="21"/>
      <c r="R12" s="21"/>
      <c r="S12" s="21"/>
      <c r="T12" s="21"/>
      <c r="U12" s="21"/>
      <c r="V12" s="21"/>
      <c r="Y12" s="22"/>
    </row>
    <row r="13" spans="1:25" ht="16" customHeight="1">
      <c r="A13" s="256"/>
      <c r="C13" s="385" t="s">
        <v>12</v>
      </c>
      <c r="D13" s="385"/>
      <c r="E13" s="385"/>
      <c r="F13" s="86"/>
      <c r="G13" s="386"/>
      <c r="H13" s="386"/>
      <c r="I13" s="386"/>
      <c r="J13" s="86"/>
      <c r="K13" s="87"/>
      <c r="L13" s="88"/>
      <c r="M13" s="181"/>
      <c r="N13" s="87"/>
      <c r="O13" s="86"/>
      <c r="P13" s="86"/>
      <c r="Q13" s="86"/>
      <c r="R13" s="86"/>
      <c r="S13" s="89"/>
      <c r="T13" s="90"/>
      <c r="U13" s="90"/>
      <c r="V13" s="279"/>
    </row>
    <row r="14" spans="1:25" ht="18" customHeight="1">
      <c r="A14" s="256"/>
      <c r="C14" s="94">
        <v>44886</v>
      </c>
      <c r="D14" s="85">
        <v>0.41666666666666669</v>
      </c>
      <c r="E14" s="102" t="str">
        <f>time!B1</f>
        <v>Inglaterra</v>
      </c>
      <c r="F14" s="157"/>
      <c r="G14" s="153">
        <v>2</v>
      </c>
      <c r="H14" s="154" t="s">
        <v>2</v>
      </c>
      <c r="I14" s="153">
        <v>0</v>
      </c>
      <c r="J14" s="159"/>
      <c r="K14" s="216" t="str">
        <f>time!B2</f>
        <v>Irã</v>
      </c>
      <c r="L14" s="306" t="s">
        <v>113</v>
      </c>
      <c r="M14" s="182"/>
      <c r="N14" s="383" t="s">
        <v>13</v>
      </c>
      <c r="O14" s="383"/>
      <c r="P14" s="383"/>
      <c r="Q14" s="383"/>
      <c r="R14" s="383"/>
      <c r="S14" s="383"/>
      <c r="T14" s="383"/>
      <c r="U14" s="383"/>
      <c r="V14" s="384"/>
    </row>
    <row r="15" spans="1:25" ht="18" customHeight="1">
      <c r="A15" s="256"/>
      <c r="C15" s="94">
        <v>44886</v>
      </c>
      <c r="D15" s="61">
        <v>0.66666666666666663</v>
      </c>
      <c r="E15" s="103" t="str">
        <f>time!B3</f>
        <v>Estados Unidos</v>
      </c>
      <c r="F15" s="158"/>
      <c r="G15" s="62">
        <v>1</v>
      </c>
      <c r="H15" s="63" t="s">
        <v>2</v>
      </c>
      <c r="I15" s="62">
        <v>1</v>
      </c>
      <c r="J15" s="160"/>
      <c r="K15" s="217" t="str">
        <f>time!B4</f>
        <v>País de Gales</v>
      </c>
      <c r="L15" s="307" t="s">
        <v>114</v>
      </c>
      <c r="M15" s="173"/>
      <c r="N15" s="16"/>
      <c r="O15" s="84" t="s">
        <v>4</v>
      </c>
      <c r="P15" s="84" t="s">
        <v>5</v>
      </c>
      <c r="Q15" s="84" t="s">
        <v>6</v>
      </c>
      <c r="R15" s="84" t="s">
        <v>7</v>
      </c>
      <c r="S15" s="84" t="s">
        <v>8</v>
      </c>
      <c r="T15" s="84" t="s">
        <v>9</v>
      </c>
      <c r="U15" s="84" t="s">
        <v>10</v>
      </c>
      <c r="V15" s="96" t="s">
        <v>11</v>
      </c>
    </row>
    <row r="16" spans="1:25" ht="18" customHeight="1">
      <c r="A16" s="256"/>
      <c r="C16" s="95">
        <v>44890</v>
      </c>
      <c r="D16" s="61">
        <v>0.29166666666666669</v>
      </c>
      <c r="E16" s="102" t="str">
        <f>time!B4</f>
        <v>País de Gales</v>
      </c>
      <c r="F16" s="158"/>
      <c r="G16" s="62">
        <v>2</v>
      </c>
      <c r="H16" s="63" t="s">
        <v>2</v>
      </c>
      <c r="I16" s="62">
        <v>0</v>
      </c>
      <c r="J16" s="160"/>
      <c r="K16" s="152" t="str">
        <f>time!B2</f>
        <v>Irã</v>
      </c>
      <c r="L16" s="308" t="s">
        <v>114</v>
      </c>
      <c r="M16" s="177">
        <f>IF(P16&gt;0,1,"")</f>
        <v>1</v>
      </c>
      <c r="N16" s="195" t="str">
        <f>IF(N2="www.guiadecompra.com",Jogo!AN13,"erro")</f>
        <v>Inglaterra</v>
      </c>
      <c r="O16" s="17">
        <f>IF(B5I=Tabela!N2,VLOOKUP(N16,Jogo!$A$13:$I$16,2,FALSE),0)</f>
        <v>7</v>
      </c>
      <c r="P16" s="18">
        <f>IF(D5I=Tabela!N3,VLOOKUP(N16,Jogo!$A$13:$I$16,3,FALSE),0)</f>
        <v>3</v>
      </c>
      <c r="Q16" s="18">
        <f>VLOOKUP(N16,Jogo!$A$13:$I$16,4,FALSE)</f>
        <v>2</v>
      </c>
      <c r="R16" s="18">
        <f>VLOOKUP(N16,Jogo!$A$13:$I$16,5,FALSE)</f>
        <v>1</v>
      </c>
      <c r="S16" s="18">
        <f>VLOOKUP(N16,Jogo!$A$13:$I$16,6,FALSE)</f>
        <v>0</v>
      </c>
      <c r="T16" s="18">
        <f>VLOOKUP(N16,Jogo!$A$13:$I$16,7,FALSE)</f>
        <v>6</v>
      </c>
      <c r="U16" s="18">
        <f>VLOOKUP(N16,Jogo!$A$13:$I$16,8,FALSE)</f>
        <v>2</v>
      </c>
      <c r="V16" s="97">
        <f>VLOOKUP(N16,Jogo!$A$13:$I$16,9,FALSE)</f>
        <v>4</v>
      </c>
    </row>
    <row r="17" spans="1:22" ht="18" customHeight="1">
      <c r="A17" s="256"/>
      <c r="C17" s="95">
        <v>44890</v>
      </c>
      <c r="D17" s="61">
        <v>0.66666666666666663</v>
      </c>
      <c r="E17" s="102" t="str">
        <f>time!B1</f>
        <v>Inglaterra</v>
      </c>
      <c r="F17" s="158"/>
      <c r="G17" s="62">
        <v>3</v>
      </c>
      <c r="H17" s="63" t="s">
        <v>2</v>
      </c>
      <c r="I17" s="62">
        <v>1</v>
      </c>
      <c r="J17" s="160"/>
      <c r="K17" s="217" t="str">
        <f>time!B3</f>
        <v>Estados Unidos</v>
      </c>
      <c r="L17" s="308" t="s">
        <v>112</v>
      </c>
      <c r="M17" s="177">
        <f>IF(P17&gt;0,2,"")</f>
        <v>2</v>
      </c>
      <c r="N17" s="195" t="str">
        <f>IF(N2="www.guiadecompra.com",Jogo!AN14,"erro")</f>
        <v>País de Gales</v>
      </c>
      <c r="O17" s="17">
        <f>IF(B5I=Tabela!N2,VLOOKUP(N17,Jogo!$A$13:$I$16,2,FALSE),0)</f>
        <v>5</v>
      </c>
      <c r="P17" s="18">
        <f>IF(D5I=Tabela!N3,VLOOKUP(N17,Jogo!$A$13:$I$16,3,FALSE),0)</f>
        <v>3</v>
      </c>
      <c r="Q17" s="18">
        <f>VLOOKUP(N17,Jogo!$A$13:$I$16,4,FALSE)</f>
        <v>1</v>
      </c>
      <c r="R17" s="18">
        <f>VLOOKUP(N17,Jogo!$A$13:$I$16,5,FALSE)</f>
        <v>2</v>
      </c>
      <c r="S17" s="18">
        <f>VLOOKUP(N17,Jogo!$A$13:$I$16,6,FALSE)</f>
        <v>0</v>
      </c>
      <c r="T17" s="18">
        <f>VLOOKUP(N17,Jogo!$A$13:$I$16,7,FALSE)</f>
        <v>4</v>
      </c>
      <c r="U17" s="18">
        <f>VLOOKUP(N17,Jogo!$A$13:$I$16,8,FALSE)</f>
        <v>2</v>
      </c>
      <c r="V17" s="97">
        <f>VLOOKUP(N17,Jogo!$A$13:$I$16,9,FALSE)</f>
        <v>2</v>
      </c>
    </row>
    <row r="18" spans="1:22" ht="18" customHeight="1">
      <c r="A18" s="256"/>
      <c r="C18" s="95">
        <v>44894</v>
      </c>
      <c r="D18" s="61">
        <v>0.66666666666666663</v>
      </c>
      <c r="E18" s="102" t="str">
        <f>time!B4</f>
        <v>País de Gales</v>
      </c>
      <c r="F18" s="158"/>
      <c r="G18" s="62">
        <v>1</v>
      </c>
      <c r="H18" s="63" t="s">
        <v>2</v>
      </c>
      <c r="I18" s="62">
        <v>1</v>
      </c>
      <c r="J18" s="160"/>
      <c r="K18" s="217" t="str">
        <f>time!B1</f>
        <v>Inglaterra</v>
      </c>
      <c r="L18" s="308" t="s">
        <v>114</v>
      </c>
      <c r="M18" s="177">
        <f>IF(P18&gt;0,3,"")</f>
        <v>3</v>
      </c>
      <c r="N18" s="2" t="str">
        <f>IF(N2="www.guiadecompra.com",Jogo!AN15,"erro")</f>
        <v>Estados Unidos</v>
      </c>
      <c r="O18" s="17">
        <f>IF(B5I=Tabela!N2,VLOOKUP(N18,Jogo!$A$13:$I$16,2,FALSE),0)</f>
        <v>4</v>
      </c>
      <c r="P18" s="18">
        <f>IF(D5I=Tabela!N3,VLOOKUP(N18,Jogo!$A$13:$I$16,3,FALSE),0)</f>
        <v>3</v>
      </c>
      <c r="Q18" s="18">
        <f>VLOOKUP(N18,Jogo!$A$13:$I$16,4,FALSE)</f>
        <v>1</v>
      </c>
      <c r="R18" s="18">
        <f>VLOOKUP(N18,Jogo!$A$13:$I$16,5,FALSE)</f>
        <v>1</v>
      </c>
      <c r="S18" s="18">
        <f>VLOOKUP(N18,Jogo!$A$13:$I$16,6,FALSE)</f>
        <v>1</v>
      </c>
      <c r="T18" s="18">
        <f>VLOOKUP(N18,Jogo!$A$13:$I$16,7,FALSE)</f>
        <v>5</v>
      </c>
      <c r="U18" s="18">
        <f>VLOOKUP(N18,Jogo!$A$13:$I$16,8,FALSE)</f>
        <v>4</v>
      </c>
      <c r="V18" s="97">
        <f>VLOOKUP(N18,Jogo!$A$13:$I$16,9,FALSE)</f>
        <v>1</v>
      </c>
    </row>
    <row r="19" spans="1:22" ht="18" customHeight="1">
      <c r="A19" s="256"/>
      <c r="C19" s="95">
        <v>44894</v>
      </c>
      <c r="D19" s="61">
        <v>0.66666666666666663</v>
      </c>
      <c r="E19" s="102" t="str">
        <f>time!B2</f>
        <v>Irã</v>
      </c>
      <c r="F19" s="158"/>
      <c r="G19" s="62">
        <v>0</v>
      </c>
      <c r="H19" s="63" t="s">
        <v>2</v>
      </c>
      <c r="I19" s="62">
        <v>3</v>
      </c>
      <c r="J19" s="160"/>
      <c r="K19" s="152" t="str">
        <f>time!B3</f>
        <v>Estados Unidos</v>
      </c>
      <c r="L19" s="308" t="s">
        <v>111</v>
      </c>
      <c r="M19" s="178">
        <f>IF(P19&gt;0,4,"")</f>
        <v>4</v>
      </c>
      <c r="N19" s="196" t="str">
        <f>IF(N2="www.guiadecompra.com",Jogo!AN16,"erro")</f>
        <v>Irã</v>
      </c>
      <c r="O19" s="98">
        <f>IF(B5I=Tabela!N2,VLOOKUP(N19,Jogo!$A$13:$I$16,2,FALSE),0)</f>
        <v>0</v>
      </c>
      <c r="P19" s="99">
        <f>IF(D5I=Tabela!N3,VLOOKUP(N19,Jogo!$A$13:$I$16,3,FALSE),0)</f>
        <v>3</v>
      </c>
      <c r="Q19" s="99">
        <f>VLOOKUP(N19,Jogo!$A$13:$I$16,4,FALSE)</f>
        <v>0</v>
      </c>
      <c r="R19" s="99">
        <f>VLOOKUP(N19,Jogo!$A$13:$I$16,5,FALSE)</f>
        <v>0</v>
      </c>
      <c r="S19" s="99">
        <f>VLOOKUP(N19,Jogo!$A$13:$I$16,6,FALSE)</f>
        <v>3</v>
      </c>
      <c r="T19" s="99">
        <f>VLOOKUP(N19,Jogo!$A$13:$I$16,7,FALSE)</f>
        <v>0</v>
      </c>
      <c r="U19" s="99">
        <f>VLOOKUP(N19,Jogo!$A$13:$I$16,8,FALSE)</f>
        <v>7</v>
      </c>
      <c r="V19" s="100">
        <f>VLOOKUP(N19,Jogo!$A$13:$I$16,9,FALSE)</f>
        <v>-7</v>
      </c>
    </row>
    <row r="20" spans="1:22" ht="16" customHeight="1">
      <c r="A20" s="257"/>
      <c r="C20" s="19"/>
      <c r="D20" s="20"/>
      <c r="E20" s="21"/>
      <c r="F20" s="22"/>
      <c r="G20" s="23"/>
      <c r="H20" s="23"/>
      <c r="I20" s="23"/>
      <c r="J20" s="23"/>
      <c r="K20" s="2"/>
      <c r="L20" s="24"/>
      <c r="M20" s="180"/>
      <c r="O20" s="21"/>
      <c r="P20" s="21"/>
      <c r="Q20" s="21"/>
      <c r="R20" s="21"/>
      <c r="S20" s="21"/>
      <c r="T20" s="21"/>
      <c r="U20" s="21"/>
      <c r="V20" s="21"/>
    </row>
    <row r="21" spans="1:22" ht="16" customHeight="1">
      <c r="A21" s="256"/>
      <c r="C21" s="391" t="s">
        <v>14</v>
      </c>
      <c r="D21" s="391"/>
      <c r="E21" s="391"/>
      <c r="F21" s="64"/>
      <c r="G21" s="392"/>
      <c r="H21" s="392"/>
      <c r="I21" s="392"/>
      <c r="J21" s="64"/>
      <c r="K21" s="65"/>
      <c r="L21" s="66"/>
      <c r="M21" s="183"/>
      <c r="N21" s="65"/>
      <c r="O21" s="64"/>
      <c r="P21" s="64"/>
      <c r="Q21" s="64"/>
      <c r="R21" s="64"/>
      <c r="S21" s="67"/>
      <c r="T21" s="67"/>
      <c r="U21" s="67"/>
      <c r="V21" s="276"/>
    </row>
    <row r="22" spans="1:22" ht="18" customHeight="1">
      <c r="A22" s="256"/>
      <c r="C22" s="264">
        <v>44887</v>
      </c>
      <c r="D22" s="68">
        <v>0.29166666666666669</v>
      </c>
      <c r="E22" s="162" t="str">
        <f>time!C1</f>
        <v>Argentina</v>
      </c>
      <c r="F22" s="161"/>
      <c r="G22" s="69">
        <v>3</v>
      </c>
      <c r="H22" s="70" t="s">
        <v>2</v>
      </c>
      <c r="I22" s="69">
        <v>0</v>
      </c>
      <c r="J22" s="163"/>
      <c r="K22" s="218" t="str">
        <f>time!C2</f>
        <v>Arábia Saudita</v>
      </c>
      <c r="L22" s="309" t="s">
        <v>115</v>
      </c>
      <c r="M22" s="184"/>
      <c r="N22" s="377" t="s">
        <v>15</v>
      </c>
      <c r="O22" s="377"/>
      <c r="P22" s="377"/>
      <c r="Q22" s="377"/>
      <c r="R22" s="377"/>
      <c r="S22" s="377"/>
      <c r="T22" s="377"/>
      <c r="U22" s="377"/>
      <c r="V22" s="378"/>
    </row>
    <row r="23" spans="1:22" ht="18" customHeight="1">
      <c r="A23" s="256"/>
      <c r="C23" s="264">
        <v>44887</v>
      </c>
      <c r="D23" s="68">
        <v>0.54166666666666663</v>
      </c>
      <c r="E23" s="162" t="str">
        <f>time!C3</f>
        <v>México</v>
      </c>
      <c r="F23" s="161"/>
      <c r="G23" s="69">
        <v>2</v>
      </c>
      <c r="H23" s="70" t="s">
        <v>2</v>
      </c>
      <c r="I23" s="69">
        <v>3</v>
      </c>
      <c r="J23" s="163"/>
      <c r="K23" s="218" t="str">
        <f>time!C4</f>
        <v>Polônia</v>
      </c>
      <c r="L23" s="309" t="s">
        <v>116</v>
      </c>
      <c r="M23" s="185"/>
      <c r="N23" s="16"/>
      <c r="O23" s="133" t="s">
        <v>4</v>
      </c>
      <c r="P23" s="133" t="s">
        <v>5</v>
      </c>
      <c r="Q23" s="133" t="s">
        <v>6</v>
      </c>
      <c r="R23" s="133" t="s">
        <v>7</v>
      </c>
      <c r="S23" s="133" t="s">
        <v>8</v>
      </c>
      <c r="T23" s="133" t="s">
        <v>9</v>
      </c>
      <c r="U23" s="133" t="s">
        <v>10</v>
      </c>
      <c r="V23" s="134" t="s">
        <v>11</v>
      </c>
    </row>
    <row r="24" spans="1:22" ht="18" customHeight="1">
      <c r="A24" s="256"/>
      <c r="C24" s="264">
        <v>44891</v>
      </c>
      <c r="D24" s="68">
        <v>0.41666666666666669</v>
      </c>
      <c r="E24" s="162" t="str">
        <f>time!C4</f>
        <v>Polônia</v>
      </c>
      <c r="F24" s="161"/>
      <c r="G24" s="69">
        <v>2</v>
      </c>
      <c r="H24" s="70" t="s">
        <v>2</v>
      </c>
      <c r="I24" s="69">
        <v>1</v>
      </c>
      <c r="J24" s="163"/>
      <c r="K24" s="218" t="str">
        <f>time!C2</f>
        <v>Arábia Saudita</v>
      </c>
      <c r="L24" s="309" t="s">
        <v>115</v>
      </c>
      <c r="M24" s="185">
        <f>IF(P24&gt;0,1,"")</f>
        <v>1</v>
      </c>
      <c r="N24" s="195" t="str">
        <f>IF(N2="www.guiadecompra.com",Jogo!AN21,"erro")</f>
        <v>Argentina</v>
      </c>
      <c r="O24" s="17">
        <f>IF(B5I=Tabela!N2,VLOOKUP(N24,Jogo!$A$21:$I$24,2,FALSE),0)</f>
        <v>7</v>
      </c>
      <c r="P24" s="18">
        <f>IF(D5I=Tabela!N3,VLOOKUP(N24,Jogo!$A$21:$I$24,3,FALSE),0)</f>
        <v>3</v>
      </c>
      <c r="Q24" s="18">
        <f>VLOOKUP(N24,Jogo!$A$21:$I$24,4,FALSE)</f>
        <v>2</v>
      </c>
      <c r="R24" s="18">
        <f>VLOOKUP(N24,Jogo!$A$21:$I$24,5,FALSE)</f>
        <v>1</v>
      </c>
      <c r="S24" s="18">
        <f>VLOOKUP(N24,Jogo!$A$21:$I$24,6,FALSE)</f>
        <v>0</v>
      </c>
      <c r="T24" s="18">
        <f>VLOOKUP(N24,Jogo!$A$21:$I$24,7,FALSE)</f>
        <v>7</v>
      </c>
      <c r="U24" s="18">
        <f>VLOOKUP(N24,Jogo!$A$21:$I$24,8,FALSE)</f>
        <v>3</v>
      </c>
      <c r="V24" s="135">
        <f>VLOOKUP(N24,Jogo!$A$21:$I$24,9,FALSE)</f>
        <v>4</v>
      </c>
    </row>
    <row r="25" spans="1:22" ht="18" customHeight="1">
      <c r="A25" s="256"/>
      <c r="C25" s="264">
        <v>44891</v>
      </c>
      <c r="D25" s="68">
        <v>0.66666666666666663</v>
      </c>
      <c r="E25" s="162" t="str">
        <f>time!C1</f>
        <v>Argentina</v>
      </c>
      <c r="F25" s="161"/>
      <c r="G25" s="69">
        <v>2</v>
      </c>
      <c r="H25" s="70" t="s">
        <v>2</v>
      </c>
      <c r="I25" s="69">
        <v>1</v>
      </c>
      <c r="J25" s="163"/>
      <c r="K25" s="218" t="str">
        <f>time!C3</f>
        <v>México</v>
      </c>
      <c r="L25" s="309" t="s">
        <v>117</v>
      </c>
      <c r="M25" s="185">
        <f>IF(P25&gt;0,2,"")</f>
        <v>2</v>
      </c>
      <c r="N25" s="195" t="str">
        <f>IF(N2="www.guiadecompra.com",Jogo!AN22,"erro")</f>
        <v>Polônia</v>
      </c>
      <c r="O25" s="17">
        <f>IF(B5I=Tabela!N2,VLOOKUP(N25,Jogo!$A$21:$I$24,2,FALSE),0)</f>
        <v>7</v>
      </c>
      <c r="P25" s="18">
        <f>IF(D5I=Tabela!N3,VLOOKUP(N25,Jogo!$A$21:$I$24,3,FALSE),0)</f>
        <v>3</v>
      </c>
      <c r="Q25" s="18">
        <f>VLOOKUP(N25,Jogo!$A$21:$I$24,4,FALSE)</f>
        <v>2</v>
      </c>
      <c r="R25" s="18">
        <f>VLOOKUP(N25,Jogo!$A$21:$I$24,5,FALSE)</f>
        <v>1</v>
      </c>
      <c r="S25" s="18">
        <f>VLOOKUP(N25,Jogo!$A$21:$I$24,6,FALSE)</f>
        <v>0</v>
      </c>
      <c r="T25" s="18">
        <f>VLOOKUP(N25,Jogo!$A$21:$I$24,7,FALSE)</f>
        <v>7</v>
      </c>
      <c r="U25" s="18">
        <f>VLOOKUP(N25,Jogo!$A$21:$I$24,8,FALSE)</f>
        <v>5</v>
      </c>
      <c r="V25" s="135">
        <f>VLOOKUP(N25,Jogo!$A$21:$I$24,9,FALSE)</f>
        <v>2</v>
      </c>
    </row>
    <row r="26" spans="1:22" ht="18" customHeight="1">
      <c r="A26" s="256"/>
      <c r="C26" s="264">
        <v>44895</v>
      </c>
      <c r="D26" s="68">
        <v>0.66666666666666663</v>
      </c>
      <c r="E26" s="162" t="str">
        <f>time!C4</f>
        <v>Polônia</v>
      </c>
      <c r="F26" s="161"/>
      <c r="G26" s="69">
        <v>2</v>
      </c>
      <c r="H26" s="70" t="s">
        <v>2</v>
      </c>
      <c r="I26" s="69">
        <v>2</v>
      </c>
      <c r="J26" s="163"/>
      <c r="K26" s="218" t="str">
        <f>time!C1</f>
        <v>Argentina</v>
      </c>
      <c r="L26" s="309" t="s">
        <v>118</v>
      </c>
      <c r="M26" s="185">
        <f>IF(P26&gt;0,3,"")</f>
        <v>3</v>
      </c>
      <c r="N26" s="2" t="str">
        <f>IF(N2="www.guiadecompra.com",Jogo!AN23,"erro")</f>
        <v>México</v>
      </c>
      <c r="O26" s="17">
        <f>IF(B5I=Tabela!N2,VLOOKUP(N26,Jogo!$A$21:$I$24,2,FALSE),0)</f>
        <v>3</v>
      </c>
      <c r="P26" s="18">
        <f>IF(D5I=Tabela!N3,VLOOKUP(N26,Jogo!$A$21:$I$24,3,FALSE),0)</f>
        <v>3</v>
      </c>
      <c r="Q26" s="18">
        <f>VLOOKUP(N26,Jogo!$A$21:$I$24,4,FALSE)</f>
        <v>1</v>
      </c>
      <c r="R26" s="18">
        <f>VLOOKUP(N26,Jogo!$A$21:$I$24,5,FALSE)</f>
        <v>0</v>
      </c>
      <c r="S26" s="18">
        <f>VLOOKUP(N26,Jogo!$A$21:$I$24,6,FALSE)</f>
        <v>2</v>
      </c>
      <c r="T26" s="18">
        <f>VLOOKUP(N26,Jogo!$A$21:$I$24,7,FALSE)</f>
        <v>4</v>
      </c>
      <c r="U26" s="18">
        <f>VLOOKUP(N26,Jogo!$A$21:$I$24,8,FALSE)</f>
        <v>5</v>
      </c>
      <c r="V26" s="135">
        <f>VLOOKUP(N26,Jogo!$A$21:$I$24,9,FALSE)</f>
        <v>-1</v>
      </c>
    </row>
    <row r="27" spans="1:22" ht="18" customHeight="1">
      <c r="A27" s="256"/>
      <c r="C27" s="264">
        <v>44895</v>
      </c>
      <c r="D27" s="68">
        <v>0.66666666666666663</v>
      </c>
      <c r="E27" s="162" t="str">
        <f>time!C2</f>
        <v>Arábia Saudita</v>
      </c>
      <c r="F27" s="161"/>
      <c r="G27" s="69">
        <v>0</v>
      </c>
      <c r="H27" s="70" t="s">
        <v>2</v>
      </c>
      <c r="I27" s="69">
        <v>1</v>
      </c>
      <c r="J27" s="163"/>
      <c r="K27" s="218" t="str">
        <f>time!C3</f>
        <v>México</v>
      </c>
      <c r="L27" s="309" t="s">
        <v>117</v>
      </c>
      <c r="M27" s="186">
        <f>IF(P27&gt;0,4,"")</f>
        <v>4</v>
      </c>
      <c r="N27" s="132" t="str">
        <f>IF(N2="www.guiadecompra.com",Jogo!AN24,"erro")</f>
        <v>Arábia Saudita</v>
      </c>
      <c r="O27" s="136">
        <f>IF(B5I=Tabela!N2,VLOOKUP(N27,Jogo!$A$21:$I$24,2,FALSE),0)</f>
        <v>0</v>
      </c>
      <c r="P27" s="137">
        <f>IF(D5I=Tabela!N3,VLOOKUP(N27,Jogo!$A$21:$I$24,3,FALSE),0)</f>
        <v>3</v>
      </c>
      <c r="Q27" s="137">
        <f>VLOOKUP(N27,Jogo!$A$21:$I$24,4,FALSE)</f>
        <v>0</v>
      </c>
      <c r="R27" s="137">
        <f>VLOOKUP(N27,Jogo!$A$21:$I$24,5,FALSE)</f>
        <v>0</v>
      </c>
      <c r="S27" s="137">
        <f>VLOOKUP(N27,Jogo!$A$21:$I$24,6,FALSE)</f>
        <v>3</v>
      </c>
      <c r="T27" s="137">
        <f>VLOOKUP(N27,Jogo!$A$21:$I$24,7,FALSE)</f>
        <v>1</v>
      </c>
      <c r="U27" s="137">
        <f>VLOOKUP(N27,Jogo!$A$21:$I$24,8,FALSE)</f>
        <v>6</v>
      </c>
      <c r="V27" s="138">
        <f>VLOOKUP(N27,Jogo!$A$21:$I$24,9,FALSE)</f>
        <v>-5</v>
      </c>
    </row>
    <row r="28" spans="1:22" ht="16" customHeight="1">
      <c r="A28" s="257"/>
      <c r="C28" s="19"/>
      <c r="D28" s="20"/>
      <c r="E28" s="21"/>
      <c r="F28" s="22"/>
      <c r="G28" s="23"/>
      <c r="H28" s="23"/>
      <c r="I28" s="23"/>
      <c r="J28" s="23"/>
      <c r="K28" s="2"/>
      <c r="L28" s="1"/>
      <c r="M28" s="180"/>
      <c r="O28" s="21"/>
      <c r="P28" s="21"/>
      <c r="Q28" s="21"/>
      <c r="R28" s="21"/>
      <c r="S28" s="21"/>
      <c r="T28" s="21"/>
      <c r="U28" s="21"/>
      <c r="V28" s="21"/>
    </row>
    <row r="29" spans="1:22" ht="16" customHeight="1">
      <c r="A29" s="256"/>
      <c r="C29" s="390" t="s">
        <v>16</v>
      </c>
      <c r="D29" s="390"/>
      <c r="E29" s="390"/>
      <c r="F29" s="71"/>
      <c r="G29" s="393"/>
      <c r="H29" s="393"/>
      <c r="I29" s="393"/>
      <c r="J29" s="71"/>
      <c r="K29" s="72"/>
      <c r="L29" s="73"/>
      <c r="M29" s="187"/>
      <c r="N29" s="72"/>
      <c r="O29" s="71"/>
      <c r="P29" s="71"/>
      <c r="Q29" s="71"/>
      <c r="R29" s="71"/>
      <c r="S29" s="74"/>
      <c r="T29" s="75"/>
      <c r="U29" s="75"/>
      <c r="V29" s="278"/>
    </row>
    <row r="30" spans="1:22" ht="18" customHeight="1">
      <c r="A30" s="256"/>
      <c r="C30" s="265">
        <v>44887</v>
      </c>
      <c r="D30" s="76">
        <v>0.41666666666666669</v>
      </c>
      <c r="E30" s="167" t="str">
        <f>time!D3</f>
        <v>Dinamarca</v>
      </c>
      <c r="F30" s="166"/>
      <c r="G30" s="77">
        <v>2</v>
      </c>
      <c r="H30" s="78" t="s">
        <v>2</v>
      </c>
      <c r="I30" s="77">
        <v>0</v>
      </c>
      <c r="J30" s="168"/>
      <c r="K30" s="219" t="str">
        <f>time!D4</f>
        <v>Tunísia</v>
      </c>
      <c r="L30" s="311" t="s">
        <v>115</v>
      </c>
      <c r="M30" s="188"/>
      <c r="N30" s="381" t="s">
        <v>17</v>
      </c>
      <c r="O30" s="381"/>
      <c r="P30" s="381"/>
      <c r="Q30" s="381"/>
      <c r="R30" s="381"/>
      <c r="S30" s="381"/>
      <c r="T30" s="381"/>
      <c r="U30" s="381"/>
      <c r="V30" s="382"/>
    </row>
    <row r="31" spans="1:22" ht="18" customHeight="1">
      <c r="A31" s="256"/>
      <c r="C31" s="265">
        <v>44887</v>
      </c>
      <c r="D31" s="76">
        <v>0.66666666666666663</v>
      </c>
      <c r="E31" s="167" t="str">
        <f>time!D1</f>
        <v>França</v>
      </c>
      <c r="F31" s="166"/>
      <c r="G31" s="77">
        <v>3</v>
      </c>
      <c r="H31" s="78" t="s">
        <v>2</v>
      </c>
      <c r="I31" s="77">
        <v>0</v>
      </c>
      <c r="J31" s="168"/>
      <c r="K31" s="219" t="str">
        <f>time!D2</f>
        <v>Austrália</v>
      </c>
      <c r="L31" s="311" t="s">
        <v>116</v>
      </c>
      <c r="M31" s="189"/>
      <c r="N31" s="16"/>
      <c r="O31" s="140" t="s">
        <v>4</v>
      </c>
      <c r="P31" s="140" t="s">
        <v>5</v>
      </c>
      <c r="Q31" s="140" t="s">
        <v>6</v>
      </c>
      <c r="R31" s="140" t="s">
        <v>7</v>
      </c>
      <c r="S31" s="140" t="s">
        <v>8</v>
      </c>
      <c r="T31" s="140" t="s">
        <v>9</v>
      </c>
      <c r="U31" s="140" t="s">
        <v>10</v>
      </c>
      <c r="V31" s="141" t="s">
        <v>11</v>
      </c>
    </row>
    <row r="32" spans="1:22" ht="18" customHeight="1">
      <c r="A32" s="256"/>
      <c r="C32" s="265">
        <v>44891</v>
      </c>
      <c r="D32" s="76">
        <v>0.29166666666666669</v>
      </c>
      <c r="E32" s="167" t="str">
        <f>time!D4</f>
        <v>Tunísia</v>
      </c>
      <c r="F32" s="166"/>
      <c r="G32" s="77">
        <v>2</v>
      </c>
      <c r="H32" s="78" t="s">
        <v>2</v>
      </c>
      <c r="I32" s="77">
        <v>1</v>
      </c>
      <c r="J32" s="168"/>
      <c r="K32" s="219" t="str">
        <f>time!D2</f>
        <v>Austrália</v>
      </c>
      <c r="L32" s="311" t="s">
        <v>116</v>
      </c>
      <c r="M32" s="189">
        <f>IF(P32&gt;0,1,"")</f>
        <v>1</v>
      </c>
      <c r="N32" s="195" t="str">
        <f>IF(N2="www.guiadecompra.com",Jogo!AN29,"erro")</f>
        <v>Dinamarca</v>
      </c>
      <c r="O32" s="17">
        <f>IF(B5I=Tabela!N2,VLOOKUP(N32,Jogo!$A$29:$I$32,2,FALSE),0)</f>
        <v>7</v>
      </c>
      <c r="P32" s="18">
        <f>IF(D5I=Tabela!N3,VLOOKUP(N32,Jogo!$A$29:$I$32,3,FALSE),0)</f>
        <v>3</v>
      </c>
      <c r="Q32" s="18">
        <f>VLOOKUP(N32,Jogo!$A$29:$I$32,4,FALSE)</f>
        <v>2</v>
      </c>
      <c r="R32" s="18">
        <f>VLOOKUP(N32,Jogo!$A$29:$I$32,5,FALSE)</f>
        <v>1</v>
      </c>
      <c r="S32" s="18">
        <f>VLOOKUP(N32,Jogo!$A$29:$I$32,6,FALSE)</f>
        <v>0</v>
      </c>
      <c r="T32" s="18">
        <f>VLOOKUP(N32,Jogo!$A$29:$I$32,7,FALSE)</f>
        <v>8</v>
      </c>
      <c r="U32" s="18">
        <f>VLOOKUP(N32,Jogo!$A$29:$I$32,8,FALSE)</f>
        <v>2</v>
      </c>
      <c r="V32" s="142">
        <f>VLOOKUP(N32,Jogo!$A$29:$I$32,9,FALSE)</f>
        <v>6</v>
      </c>
    </row>
    <row r="33" spans="1:22" ht="18" customHeight="1">
      <c r="A33" s="256"/>
      <c r="C33" s="265">
        <v>44891</v>
      </c>
      <c r="D33" s="76">
        <v>0.54166666666666663</v>
      </c>
      <c r="E33" s="167" t="str">
        <f>time!D1</f>
        <v>França</v>
      </c>
      <c r="F33" s="166"/>
      <c r="G33" s="77">
        <v>2</v>
      </c>
      <c r="H33" s="78" t="s">
        <v>2</v>
      </c>
      <c r="I33" s="77">
        <v>2</v>
      </c>
      <c r="J33" s="168"/>
      <c r="K33" s="219" t="str">
        <f>time!D3</f>
        <v>Dinamarca</v>
      </c>
      <c r="L33" s="311" t="s">
        <v>118</v>
      </c>
      <c r="M33" s="189">
        <f>IF(P33&gt;0,2,"")</f>
        <v>2</v>
      </c>
      <c r="N33" s="195" t="str">
        <f>IF(N2="www.guiadecompra.com",Jogo!AN30,"erro")</f>
        <v>França</v>
      </c>
      <c r="O33" s="17">
        <f>IF(B5I=Tabela!N2,VLOOKUP(N33,Jogo!$A$29:$I$32,2,FALSE),0)</f>
        <v>7</v>
      </c>
      <c r="P33" s="18">
        <f>IF(D5I=Tabela!N3,VLOOKUP(N33,Jogo!$A$29:$I$32,3,FALSE),0)</f>
        <v>3</v>
      </c>
      <c r="Q33" s="18">
        <f>VLOOKUP(N33,Jogo!$A$29:$I$32,4,FALSE)</f>
        <v>2</v>
      </c>
      <c r="R33" s="18">
        <f>VLOOKUP(N33,Jogo!$A$29:$I$32,5,FALSE)</f>
        <v>1</v>
      </c>
      <c r="S33" s="18">
        <f>VLOOKUP(N33,Jogo!$A$29:$I$32,6,FALSE)</f>
        <v>0</v>
      </c>
      <c r="T33" s="18">
        <f>VLOOKUP(N33,Jogo!$A$29:$I$32,7,FALSE)</f>
        <v>7</v>
      </c>
      <c r="U33" s="18">
        <f>VLOOKUP(N33,Jogo!$A$29:$I$32,8,FALSE)</f>
        <v>3</v>
      </c>
      <c r="V33" s="142">
        <f>VLOOKUP(N33,Jogo!$A$29:$I$32,9,FALSE)</f>
        <v>4</v>
      </c>
    </row>
    <row r="34" spans="1:22" ht="18" customHeight="1">
      <c r="A34" s="256"/>
      <c r="C34" s="265">
        <v>44895</v>
      </c>
      <c r="D34" s="76">
        <v>0.5</v>
      </c>
      <c r="E34" s="167" t="str">
        <f>time!D4</f>
        <v>Tunísia</v>
      </c>
      <c r="F34" s="166"/>
      <c r="G34" s="77">
        <v>1</v>
      </c>
      <c r="H34" s="78" t="s">
        <v>2</v>
      </c>
      <c r="I34" s="77">
        <v>2</v>
      </c>
      <c r="J34" s="168"/>
      <c r="K34" s="219" t="str">
        <f>time!D1</f>
        <v>França</v>
      </c>
      <c r="L34" s="311" t="s">
        <v>115</v>
      </c>
      <c r="M34" s="189">
        <f>IF(P34&gt;0,3,"")</f>
        <v>3</v>
      </c>
      <c r="N34" s="2" t="str">
        <f>IF(N2="www.guiadecompra.com",Jogo!AN31,"erro")</f>
        <v>Tunísia</v>
      </c>
      <c r="O34" s="17">
        <f>IF(B5I=Tabela!N2,VLOOKUP(N34,Jogo!$A$29:$I$32,2,FALSE),0)</f>
        <v>3</v>
      </c>
      <c r="P34" s="18">
        <f>IF(D5I=Tabela!N3,VLOOKUP(N34,Jogo!$A$29:$I$32,3,FALSE),0)</f>
        <v>3</v>
      </c>
      <c r="Q34" s="18">
        <f>VLOOKUP(N34,Jogo!$A$29:$I$32,4,FALSE)</f>
        <v>1</v>
      </c>
      <c r="R34" s="18">
        <f>VLOOKUP(N34,Jogo!$A$29:$I$32,5,FALSE)</f>
        <v>0</v>
      </c>
      <c r="S34" s="18">
        <f>VLOOKUP(N34,Jogo!$A$29:$I$32,6,FALSE)</f>
        <v>2</v>
      </c>
      <c r="T34" s="18">
        <f>VLOOKUP(N34,Jogo!$A$29:$I$32,7,FALSE)</f>
        <v>3</v>
      </c>
      <c r="U34" s="18">
        <f>VLOOKUP(N34,Jogo!$A$29:$I$32,8,FALSE)</f>
        <v>5</v>
      </c>
      <c r="V34" s="142">
        <f>VLOOKUP(N34,Jogo!$A$29:$I$32,9,FALSE)</f>
        <v>-2</v>
      </c>
    </row>
    <row r="35" spans="1:22" ht="18" customHeight="1">
      <c r="A35" s="256"/>
      <c r="C35" s="265">
        <v>44895</v>
      </c>
      <c r="D35" s="76">
        <v>0.5</v>
      </c>
      <c r="E35" s="167" t="str">
        <f>time!D2</f>
        <v>Austrália</v>
      </c>
      <c r="F35" s="166"/>
      <c r="G35" s="77">
        <v>0</v>
      </c>
      <c r="H35" s="78" t="s">
        <v>2</v>
      </c>
      <c r="I35" s="77">
        <v>4</v>
      </c>
      <c r="J35" s="168"/>
      <c r="K35" s="219" t="str">
        <f>time!D3</f>
        <v>Dinamarca</v>
      </c>
      <c r="L35" s="311" t="s">
        <v>116</v>
      </c>
      <c r="M35" s="190">
        <f>IF(P35&gt;0,4,"")</f>
        <v>4</v>
      </c>
      <c r="N35" s="139" t="str">
        <f>IF(N2="www.guiadecompra.com",Jogo!AN32,"erro")</f>
        <v>Austrália</v>
      </c>
      <c r="O35" s="143">
        <f>IF(B5I=Tabela!N2,VLOOKUP(N35,Jogo!$A$29:$I$32,2,FALSE),0)</f>
        <v>0</v>
      </c>
      <c r="P35" s="144">
        <f>IF(D5I=Tabela!N3,VLOOKUP(N35,Jogo!$A$29:$I$32,3,FALSE),0)</f>
        <v>3</v>
      </c>
      <c r="Q35" s="144">
        <f>VLOOKUP(N35,Jogo!$A$29:$I$32,4,FALSE)</f>
        <v>0</v>
      </c>
      <c r="R35" s="144">
        <f>VLOOKUP(N35,Jogo!$A$29:$I$32,5,FALSE)</f>
        <v>0</v>
      </c>
      <c r="S35" s="144">
        <f>VLOOKUP(N35,Jogo!$A$29:$I$32,6,FALSE)</f>
        <v>3</v>
      </c>
      <c r="T35" s="144">
        <f>VLOOKUP(N35,Jogo!$A$29:$I$32,7,FALSE)</f>
        <v>1</v>
      </c>
      <c r="U35" s="144">
        <f>VLOOKUP(N35,Jogo!$A$29:$I$32,8,FALSE)</f>
        <v>9</v>
      </c>
      <c r="V35" s="145">
        <f>VLOOKUP(N35,Jogo!$A$29:$I$32,9,FALSE)</f>
        <v>-8</v>
      </c>
    </row>
    <row r="36" spans="1:22" ht="16" customHeight="1">
      <c r="A36" s="257"/>
      <c r="C36" s="19"/>
      <c r="D36" s="20"/>
      <c r="E36" s="21"/>
      <c r="F36" s="22"/>
      <c r="G36" s="23"/>
      <c r="H36" s="23"/>
      <c r="I36" s="23"/>
      <c r="J36" s="23"/>
      <c r="K36" s="2"/>
      <c r="L36" s="24"/>
      <c r="M36" s="180"/>
      <c r="O36" s="21"/>
      <c r="P36" s="21"/>
      <c r="Q36" s="21"/>
      <c r="R36" s="21"/>
      <c r="S36" s="21"/>
      <c r="T36" s="21"/>
      <c r="U36" s="21"/>
      <c r="V36" s="21"/>
    </row>
    <row r="37" spans="1:22" ht="16" customHeight="1">
      <c r="A37" s="256"/>
      <c r="C37" s="406" t="s">
        <v>18</v>
      </c>
      <c r="D37" s="406"/>
      <c r="E37" s="406"/>
      <c r="F37" s="55"/>
      <c r="G37" s="397"/>
      <c r="H37" s="397"/>
      <c r="I37" s="397"/>
      <c r="J37" s="55"/>
      <c r="K37" s="56"/>
      <c r="L37" s="55"/>
      <c r="M37" s="191"/>
      <c r="N37" s="56"/>
      <c r="O37" s="58"/>
      <c r="P37" s="58"/>
      <c r="Q37" s="58"/>
      <c r="R37" s="58"/>
      <c r="S37" s="55"/>
      <c r="T37" s="59"/>
      <c r="U37" s="59"/>
      <c r="V37" s="277"/>
    </row>
    <row r="38" spans="1:22" ht="18" customHeight="1">
      <c r="A38" s="256"/>
      <c r="C38" s="115">
        <v>44888</v>
      </c>
      <c r="D38" s="51">
        <v>0.41666666666666669</v>
      </c>
      <c r="E38" s="164" t="str">
        <f>time!E3</f>
        <v>Alemanha</v>
      </c>
      <c r="F38" s="83"/>
      <c r="G38" s="52">
        <v>4</v>
      </c>
      <c r="H38" s="53" t="s">
        <v>2</v>
      </c>
      <c r="I38" s="52">
        <v>0</v>
      </c>
      <c r="J38" s="82"/>
      <c r="K38" s="220" t="str">
        <f>time!E4</f>
        <v>Japão</v>
      </c>
      <c r="L38" s="310" t="s">
        <v>113</v>
      </c>
      <c r="M38" s="192"/>
      <c r="N38" s="411" t="s">
        <v>19</v>
      </c>
      <c r="O38" s="411"/>
      <c r="P38" s="411"/>
      <c r="Q38" s="411"/>
      <c r="R38" s="411"/>
      <c r="S38" s="411"/>
      <c r="T38" s="411"/>
      <c r="U38" s="411"/>
      <c r="V38" s="412"/>
    </row>
    <row r="39" spans="1:22" ht="18" customHeight="1">
      <c r="A39" s="256"/>
      <c r="C39" s="115">
        <v>44888</v>
      </c>
      <c r="D39" s="51">
        <v>0.54166666666666663</v>
      </c>
      <c r="E39" s="164" t="str">
        <f>time!E1</f>
        <v>Espanha</v>
      </c>
      <c r="F39" s="83"/>
      <c r="G39" s="52">
        <v>3</v>
      </c>
      <c r="H39" s="53" t="s">
        <v>2</v>
      </c>
      <c r="I39" s="52">
        <v>1</v>
      </c>
      <c r="J39" s="82"/>
      <c r="K39" s="220" t="str">
        <f>time!E2</f>
        <v>Costa Rica</v>
      </c>
      <c r="L39" s="310" t="s">
        <v>111</v>
      </c>
      <c r="M39" s="179"/>
      <c r="N39" s="16"/>
      <c r="O39" s="129" t="s">
        <v>4</v>
      </c>
      <c r="P39" s="129" t="s">
        <v>5</v>
      </c>
      <c r="Q39" s="129" t="s">
        <v>6</v>
      </c>
      <c r="R39" s="129" t="s">
        <v>7</v>
      </c>
      <c r="S39" s="129" t="s">
        <v>8</v>
      </c>
      <c r="T39" s="129" t="s">
        <v>9</v>
      </c>
      <c r="U39" s="129" t="s">
        <v>10</v>
      </c>
      <c r="V39" s="130" t="s">
        <v>11</v>
      </c>
    </row>
    <row r="40" spans="1:22" ht="18" customHeight="1">
      <c r="A40" s="256"/>
      <c r="C40" s="115">
        <v>44892</v>
      </c>
      <c r="D40" s="51">
        <v>0.29166666666666669</v>
      </c>
      <c r="E40" s="164" t="str">
        <f>time!E4</f>
        <v>Japão</v>
      </c>
      <c r="F40" s="83"/>
      <c r="G40" s="52">
        <v>0</v>
      </c>
      <c r="H40" s="53" t="s">
        <v>2</v>
      </c>
      <c r="I40" s="52">
        <v>4</v>
      </c>
      <c r="J40" s="82"/>
      <c r="K40" s="220" t="str">
        <f>time!E2</f>
        <v>Costa Rica</v>
      </c>
      <c r="L40" s="310" t="s">
        <v>114</v>
      </c>
      <c r="M40" s="179">
        <f>IF(P40&gt;0,1,"")</f>
        <v>1</v>
      </c>
      <c r="N40" s="195" t="str">
        <f>IF(N2="www.guiadecompra.com",Jogo!AN37,"erro")</f>
        <v>Alemanha</v>
      </c>
      <c r="O40" s="17">
        <f>IF(B5I=Tabela!N2,VLOOKUP(N40,Jogo!$A$37:$I$40,2,FALSE),0)</f>
        <v>7</v>
      </c>
      <c r="P40" s="18">
        <f>IF(D5I=Tabela!N3,VLOOKUP(N40,Jogo!$A$37:$I$40,3,FALSE),0)</f>
        <v>3</v>
      </c>
      <c r="Q40" s="18">
        <f>VLOOKUP(N40,Jogo!$A$37:$I$40,4,FALSE)</f>
        <v>2</v>
      </c>
      <c r="R40" s="18">
        <f>VLOOKUP(N40,Jogo!$A$37:$I$40,5,FALSE)</f>
        <v>1</v>
      </c>
      <c r="S40" s="18">
        <f>VLOOKUP(N40,Jogo!$A$37:$I$40,6,FALSE)</f>
        <v>0</v>
      </c>
      <c r="T40" s="18">
        <f>VLOOKUP(N40,Jogo!$A$37:$I$40,7,FALSE)</f>
        <v>11</v>
      </c>
      <c r="U40" s="18">
        <f>VLOOKUP(N40,Jogo!$A$37:$I$40,8,FALSE)</f>
        <v>3</v>
      </c>
      <c r="V40" s="79">
        <f>VLOOKUP(N40,Jogo!$A$37:$I$40,9,FALSE)</f>
        <v>8</v>
      </c>
    </row>
    <row r="41" spans="1:22" ht="18" customHeight="1">
      <c r="A41" s="256"/>
      <c r="C41" s="115">
        <v>44892</v>
      </c>
      <c r="D41" s="51">
        <v>0.66666666666666663</v>
      </c>
      <c r="E41" s="164" t="str">
        <f>time!E1</f>
        <v>Espanha</v>
      </c>
      <c r="F41" s="83"/>
      <c r="G41" s="52">
        <v>2</v>
      </c>
      <c r="H41" s="53" t="s">
        <v>2</v>
      </c>
      <c r="I41" s="52">
        <v>2</v>
      </c>
      <c r="J41" s="82"/>
      <c r="K41" s="220" t="str">
        <f>time!E3</f>
        <v>Alemanha</v>
      </c>
      <c r="L41" s="310" t="s">
        <v>112</v>
      </c>
      <c r="M41" s="179">
        <f>IF(P41&gt;0,2,"")</f>
        <v>2</v>
      </c>
      <c r="N41" s="195" t="str">
        <f>IF(N2="www.guiadecompra.com",Jogo!AN38,"erro")</f>
        <v>Espanha</v>
      </c>
      <c r="O41" s="17">
        <f>IF(B5I=Tabela!N2,VLOOKUP(N41,Jogo!$A$37:$I$40,2,FALSE),0)</f>
        <v>5</v>
      </c>
      <c r="P41" s="18">
        <f>IF(D5I=Tabela!N3,VLOOKUP(N41,Jogo!$A$37:$I$40,3,FALSE),0)</f>
        <v>3</v>
      </c>
      <c r="Q41" s="18">
        <f>VLOOKUP(N41,Jogo!$A$37:$I$40,4,FALSE)</f>
        <v>1</v>
      </c>
      <c r="R41" s="18">
        <f>VLOOKUP(N41,Jogo!$A$37:$I$40,5,FALSE)</f>
        <v>2</v>
      </c>
      <c r="S41" s="18">
        <f>VLOOKUP(N41,Jogo!$A$37:$I$40,6,FALSE)</f>
        <v>0</v>
      </c>
      <c r="T41" s="18">
        <f>VLOOKUP(N41,Jogo!$A$37:$I$40,7,FALSE)</f>
        <v>7</v>
      </c>
      <c r="U41" s="18">
        <f>VLOOKUP(N41,Jogo!$A$37:$I$40,8,FALSE)</f>
        <v>5</v>
      </c>
      <c r="V41" s="79">
        <f>VLOOKUP(N41,Jogo!$A$37:$I$40,9,FALSE)</f>
        <v>2</v>
      </c>
    </row>
    <row r="42" spans="1:22" ht="18" customHeight="1">
      <c r="A42" s="256"/>
      <c r="C42" s="115">
        <v>44896</v>
      </c>
      <c r="D42" s="51">
        <v>0.66666666666666663</v>
      </c>
      <c r="E42" s="164" t="str">
        <f>time!E4</f>
        <v>Japão</v>
      </c>
      <c r="F42" s="83"/>
      <c r="G42" s="52">
        <v>2</v>
      </c>
      <c r="H42" s="53" t="s">
        <v>2</v>
      </c>
      <c r="I42" s="52">
        <v>2</v>
      </c>
      <c r="J42" s="82"/>
      <c r="K42" s="220" t="str">
        <f>time!E1</f>
        <v>Espanha</v>
      </c>
      <c r="L42" s="310" t="s">
        <v>113</v>
      </c>
      <c r="M42" s="179">
        <f>IF(P42&gt;0,3,"")</f>
        <v>3</v>
      </c>
      <c r="N42" s="2" t="str">
        <f>IF(N2="www.guiadecompra.com",Jogo!AN39,"erro")</f>
        <v>Costa Rica</v>
      </c>
      <c r="O42" s="17">
        <f>IF(B5I=Tabela!N2,VLOOKUP(N42,Jogo!$A$37:$I$40,2,FALSE),0)</f>
        <v>3</v>
      </c>
      <c r="P42" s="18">
        <f>IF(D5I=Tabela!N3,VLOOKUP(N42,Jogo!$A$37:$I$40,3,FALSE),0)</f>
        <v>3</v>
      </c>
      <c r="Q42" s="18">
        <f>VLOOKUP(N42,Jogo!$A$37:$I$40,4,FALSE)</f>
        <v>1</v>
      </c>
      <c r="R42" s="18">
        <f>VLOOKUP(N42,Jogo!$A$37:$I$40,5,FALSE)</f>
        <v>0</v>
      </c>
      <c r="S42" s="18">
        <f>VLOOKUP(N42,Jogo!$A$37:$I$40,6,FALSE)</f>
        <v>2</v>
      </c>
      <c r="T42" s="18">
        <f>VLOOKUP(N42,Jogo!$A$37:$I$40,7,FALSE)</f>
        <v>6</v>
      </c>
      <c r="U42" s="18">
        <f>VLOOKUP(N42,Jogo!$A$37:$I$40,8,FALSE)</f>
        <v>8</v>
      </c>
      <c r="V42" s="79">
        <f>VLOOKUP(N42,Jogo!$A$37:$I$40,9,FALSE)</f>
        <v>-2</v>
      </c>
    </row>
    <row r="43" spans="1:22" ht="18" customHeight="1">
      <c r="A43" s="256"/>
      <c r="C43" s="115">
        <v>44896</v>
      </c>
      <c r="D43" s="51">
        <v>0.66666666666666663</v>
      </c>
      <c r="E43" s="164" t="str">
        <f>time!E2</f>
        <v>Costa Rica</v>
      </c>
      <c r="F43" s="83"/>
      <c r="G43" s="52">
        <v>1</v>
      </c>
      <c r="H43" s="53" t="s">
        <v>2</v>
      </c>
      <c r="I43" s="52">
        <v>5</v>
      </c>
      <c r="J43" s="82"/>
      <c r="K43" s="220" t="str">
        <f>time!E3</f>
        <v>Alemanha</v>
      </c>
      <c r="L43" s="310" t="s">
        <v>112</v>
      </c>
      <c r="M43" s="193">
        <f>IF(P43&gt;0,4,"")</f>
        <v>4</v>
      </c>
      <c r="N43" s="155" t="str">
        <f>IF(N2="www.guiadecompra.com",Jogo!AN40,"erro")</f>
        <v>Japão</v>
      </c>
      <c r="O43" s="131">
        <f>IF(B5I=Tabela!N2,VLOOKUP(N43,Jogo!$A$37:$I$40,2,FALSE),0)</f>
        <v>1</v>
      </c>
      <c r="P43" s="80">
        <f>IF(D5I=Tabela!N3,VLOOKUP(N43,Jogo!$A$37:$I$40,3,FALSE),0)</f>
        <v>3</v>
      </c>
      <c r="Q43" s="80">
        <f>VLOOKUP(N43,Jogo!$A$37:$I$40,4,FALSE)</f>
        <v>0</v>
      </c>
      <c r="R43" s="80">
        <f>VLOOKUP(N43,Jogo!$A$37:$I$40,5,FALSE)</f>
        <v>1</v>
      </c>
      <c r="S43" s="80">
        <f>VLOOKUP(N43,Jogo!$A$37:$I$40,6,FALSE)</f>
        <v>2</v>
      </c>
      <c r="T43" s="80">
        <f>VLOOKUP(N43,Jogo!$A$37:$I$40,7,FALSE)</f>
        <v>2</v>
      </c>
      <c r="U43" s="80">
        <f>VLOOKUP(N43,Jogo!$A$37:$I$40,8,FALSE)</f>
        <v>10</v>
      </c>
      <c r="V43" s="81">
        <f>VLOOKUP(N43,Jogo!$A$37:$I$40,9,FALSE)</f>
        <v>-8</v>
      </c>
    </row>
    <row r="44" spans="1:22" ht="16" customHeight="1">
      <c r="A44" s="257"/>
      <c r="C44" s="19"/>
      <c r="D44" s="20"/>
      <c r="E44" s="21"/>
      <c r="F44" s="22"/>
      <c r="G44" s="23"/>
      <c r="H44" s="23"/>
      <c r="I44" s="23"/>
      <c r="J44" s="23"/>
      <c r="K44" s="2"/>
      <c r="L44" s="24"/>
      <c r="M44" s="180"/>
      <c r="O44" s="21"/>
      <c r="P44" s="21"/>
      <c r="Q44" s="21"/>
      <c r="R44" s="21"/>
      <c r="S44" s="21"/>
      <c r="T44" s="21"/>
      <c r="U44" s="21"/>
      <c r="V44" s="21"/>
    </row>
    <row r="45" spans="1:22" ht="16" customHeight="1">
      <c r="A45" s="256"/>
      <c r="C45" s="407" t="s">
        <v>20</v>
      </c>
      <c r="D45" s="408"/>
      <c r="E45" s="408"/>
      <c r="F45" s="268"/>
      <c r="G45" s="401"/>
      <c r="H45" s="401"/>
      <c r="I45" s="401"/>
      <c r="J45" s="268"/>
      <c r="K45" s="269"/>
      <c r="L45" s="270"/>
      <c r="M45" s="271"/>
      <c r="N45" s="269"/>
      <c r="O45" s="268"/>
      <c r="P45" s="268"/>
      <c r="Q45" s="268"/>
      <c r="R45" s="268"/>
      <c r="S45" s="272"/>
      <c r="T45" s="273"/>
      <c r="U45" s="273"/>
      <c r="V45" s="274"/>
    </row>
    <row r="46" spans="1:22" ht="18" customHeight="1">
      <c r="A46" s="256"/>
      <c r="C46" s="266">
        <v>44888</v>
      </c>
      <c r="D46" s="61">
        <v>0.29166666666666669</v>
      </c>
      <c r="E46" s="165" t="str">
        <f>time!F3</f>
        <v>Marrocos</v>
      </c>
      <c r="F46" s="158"/>
      <c r="G46" s="62">
        <v>1</v>
      </c>
      <c r="H46" s="63" t="s">
        <v>2</v>
      </c>
      <c r="I46" s="62">
        <v>2</v>
      </c>
      <c r="J46" s="160"/>
      <c r="K46" s="221" t="str">
        <f>time!F4</f>
        <v>Croácia</v>
      </c>
      <c r="L46" s="308" t="s">
        <v>112</v>
      </c>
      <c r="M46" s="194"/>
      <c r="N46" s="388" t="s">
        <v>21</v>
      </c>
      <c r="O46" s="388"/>
      <c r="P46" s="388"/>
      <c r="Q46" s="388"/>
      <c r="R46" s="388"/>
      <c r="S46" s="388"/>
      <c r="T46" s="388"/>
      <c r="U46" s="388"/>
      <c r="V46" s="389"/>
    </row>
    <row r="47" spans="1:22" ht="18" customHeight="1">
      <c r="A47" s="256"/>
      <c r="C47" s="266">
        <v>44888</v>
      </c>
      <c r="D47" s="61">
        <v>0.66666666666666663</v>
      </c>
      <c r="E47" s="165" t="str">
        <f>time!F1</f>
        <v>Bélgica</v>
      </c>
      <c r="F47" s="158"/>
      <c r="G47" s="62">
        <v>3</v>
      </c>
      <c r="H47" s="63" t="s">
        <v>2</v>
      </c>
      <c r="I47" s="62">
        <v>1</v>
      </c>
      <c r="J47" s="160"/>
      <c r="K47" s="221" t="str">
        <f>time!F2</f>
        <v>Canadá</v>
      </c>
      <c r="L47" s="308" t="s">
        <v>114</v>
      </c>
      <c r="M47" s="173"/>
      <c r="N47" s="16"/>
      <c r="O47" s="84" t="s">
        <v>4</v>
      </c>
      <c r="P47" s="84" t="s">
        <v>5</v>
      </c>
      <c r="Q47" s="84" t="s">
        <v>6</v>
      </c>
      <c r="R47" s="84" t="s">
        <v>7</v>
      </c>
      <c r="S47" s="84" t="s">
        <v>8</v>
      </c>
      <c r="T47" s="84" t="s">
        <v>9</v>
      </c>
      <c r="U47" s="84" t="s">
        <v>10</v>
      </c>
      <c r="V47" s="146" t="s">
        <v>11</v>
      </c>
    </row>
    <row r="48" spans="1:22" ht="18" customHeight="1">
      <c r="A48" s="256"/>
      <c r="C48" s="266">
        <v>44892</v>
      </c>
      <c r="D48" s="61">
        <v>0.41666666666666669</v>
      </c>
      <c r="E48" s="165" t="str">
        <f>time!F1</f>
        <v>Bélgica</v>
      </c>
      <c r="F48" s="158"/>
      <c r="G48" s="62">
        <v>2</v>
      </c>
      <c r="H48" s="63" t="s">
        <v>2</v>
      </c>
      <c r="I48" s="62">
        <v>2</v>
      </c>
      <c r="J48" s="160"/>
      <c r="K48" s="221" t="str">
        <f>time!F3</f>
        <v>Marrocos</v>
      </c>
      <c r="L48" s="308" t="s">
        <v>111</v>
      </c>
      <c r="M48" s="173">
        <f>IF(P48&gt;0,1,"")</f>
        <v>1</v>
      </c>
      <c r="N48" s="195" t="str">
        <f>IF(N2="www.guiadecompra.com",Jogo!AN45,"erro")</f>
        <v>Croácia</v>
      </c>
      <c r="O48" s="17">
        <f>IF(B5I=Tabela!N2,VLOOKUP(N48,Jogo!$A$45:$I$48,2,FALSE),0)</f>
        <v>7</v>
      </c>
      <c r="P48" s="18">
        <f>IF(D5I=Tabela!N3,VLOOKUP(N48,Jogo!$A$45:$I$48,3,FALSE),0)</f>
        <v>3</v>
      </c>
      <c r="Q48" s="18">
        <f>VLOOKUP(N48,Jogo!$A$45:$I$48,4,FALSE)</f>
        <v>2</v>
      </c>
      <c r="R48" s="18">
        <f>VLOOKUP(N48,Jogo!$A$45:$I$48,5,FALSE)</f>
        <v>1</v>
      </c>
      <c r="S48" s="18">
        <f>VLOOKUP(N48,Jogo!$A$45:$I$48,6,FALSE)</f>
        <v>0</v>
      </c>
      <c r="T48" s="18">
        <f>VLOOKUP(N48,Jogo!$A$45:$I$48,7,FALSE)</f>
        <v>7</v>
      </c>
      <c r="U48" s="18">
        <f>VLOOKUP(N48,Jogo!$A$45:$I$48,8,FALSE)</f>
        <v>4</v>
      </c>
      <c r="V48" s="147">
        <f>VLOOKUP(N48,Jogo!$A$45:$I$48,9,FALSE)</f>
        <v>3</v>
      </c>
    </row>
    <row r="49" spans="1:22" ht="18" customHeight="1">
      <c r="A49" s="256"/>
      <c r="C49" s="266">
        <v>44892</v>
      </c>
      <c r="D49" s="61">
        <v>0.54166666666666663</v>
      </c>
      <c r="E49" s="165" t="str">
        <f>time!F4</f>
        <v>Croácia</v>
      </c>
      <c r="F49" s="158"/>
      <c r="G49" s="62">
        <v>3</v>
      </c>
      <c r="H49" s="63" t="s">
        <v>2</v>
      </c>
      <c r="I49" s="62">
        <v>1</v>
      </c>
      <c r="J49" s="160"/>
      <c r="K49" s="221" t="str">
        <f>time!F2</f>
        <v>Canadá</v>
      </c>
      <c r="L49" s="308" t="s">
        <v>119</v>
      </c>
      <c r="M49" s="173">
        <f>IF(P49&gt;0,2,"")</f>
        <v>2</v>
      </c>
      <c r="N49" s="195" t="str">
        <f>IF(N2="www.guiadecompra.com",Jogo!AN46,"erro")</f>
        <v>Bélgica</v>
      </c>
      <c r="O49" s="17">
        <f>IF(B5I=Tabela!N2,VLOOKUP(N49,Jogo!$A$45:$I$48,2,FALSE),0)</f>
        <v>5</v>
      </c>
      <c r="P49" s="18">
        <f>IF(D5I=Tabela!N3,VLOOKUP(N49,Jogo!$A$45:$I$48,3,FALSE),0)</f>
        <v>3</v>
      </c>
      <c r="Q49" s="18">
        <f>VLOOKUP(N49,Jogo!$A$45:$I$48,4,FALSE)</f>
        <v>1</v>
      </c>
      <c r="R49" s="18">
        <f>VLOOKUP(N49,Jogo!$A$45:$I$48,5,FALSE)</f>
        <v>2</v>
      </c>
      <c r="S49" s="18">
        <f>VLOOKUP(N49,Jogo!$A$45:$I$48,6,FALSE)</f>
        <v>0</v>
      </c>
      <c r="T49" s="18">
        <f>VLOOKUP(N49,Jogo!$A$45:$I$48,7,FALSE)</f>
        <v>7</v>
      </c>
      <c r="U49" s="18">
        <f>VLOOKUP(N49,Jogo!$A$45:$I$48,8,FALSE)</f>
        <v>5</v>
      </c>
      <c r="V49" s="147">
        <f>VLOOKUP(N49,Jogo!$A$45:$I$48,9,FALSE)</f>
        <v>2</v>
      </c>
    </row>
    <row r="50" spans="1:22" ht="18" customHeight="1">
      <c r="A50" s="256"/>
      <c r="C50" s="266">
        <v>44896</v>
      </c>
      <c r="D50" s="61">
        <v>0.5</v>
      </c>
      <c r="E50" s="165" t="str">
        <f>time!F4</f>
        <v>Croácia</v>
      </c>
      <c r="F50" s="158"/>
      <c r="G50" s="62">
        <v>2</v>
      </c>
      <c r="H50" s="63" t="s">
        <v>2</v>
      </c>
      <c r="I50" s="62">
        <v>2</v>
      </c>
      <c r="J50" s="160"/>
      <c r="K50" s="221" t="str">
        <f>time!F1</f>
        <v>Bélgica</v>
      </c>
      <c r="L50" s="308" t="s">
        <v>114</v>
      </c>
      <c r="M50" s="173">
        <f>IF(P50&gt;0,3,"")</f>
        <v>3</v>
      </c>
      <c r="N50" s="2" t="str">
        <f>IF(N2="www.guiadecompra.com",Jogo!AN47,"erro")</f>
        <v>Canadá</v>
      </c>
      <c r="O50" s="17">
        <f>IF(B5I=Tabela!N2,VLOOKUP(N50,Jogo!$A$45:$I$48,2,FALSE),0)</f>
        <v>3</v>
      </c>
      <c r="P50" s="18">
        <f>IF(D5I=Tabela!N3,VLOOKUP(N50,Jogo!$A$45:$I$48,3,FALSE),0)</f>
        <v>3</v>
      </c>
      <c r="Q50" s="18">
        <f>VLOOKUP(N50,Jogo!$A$45:$I$48,4,FALSE)</f>
        <v>1</v>
      </c>
      <c r="R50" s="18">
        <f>VLOOKUP(N50,Jogo!$A$45:$I$48,5,FALSE)</f>
        <v>0</v>
      </c>
      <c r="S50" s="18">
        <f>VLOOKUP(N50,Jogo!$A$45:$I$48,6,FALSE)</f>
        <v>2</v>
      </c>
      <c r="T50" s="18">
        <f>VLOOKUP(N50,Jogo!$A$45:$I$48,7,FALSE)</f>
        <v>4</v>
      </c>
      <c r="U50" s="18">
        <f>VLOOKUP(N50,Jogo!$A$45:$I$48,8,FALSE)</f>
        <v>7</v>
      </c>
      <c r="V50" s="147">
        <f>VLOOKUP(N50,Jogo!$A$45:$I$48,9,FALSE)</f>
        <v>-3</v>
      </c>
    </row>
    <row r="51" spans="1:22" ht="18" customHeight="1">
      <c r="A51" s="256"/>
      <c r="C51" s="266">
        <v>44896</v>
      </c>
      <c r="D51" s="61">
        <v>0.5</v>
      </c>
      <c r="E51" s="165" t="str">
        <f>time!F2</f>
        <v>Canadá</v>
      </c>
      <c r="F51" s="158"/>
      <c r="G51" s="62">
        <v>2</v>
      </c>
      <c r="H51" s="63" t="s">
        <v>2</v>
      </c>
      <c r="I51" s="62">
        <v>1</v>
      </c>
      <c r="J51" s="160"/>
      <c r="K51" s="221" t="str">
        <f>time!F3</f>
        <v>Marrocos</v>
      </c>
      <c r="L51" s="308" t="s">
        <v>111</v>
      </c>
      <c r="M51" s="174">
        <f>IF(P51&gt;0,4,"")</f>
        <v>4</v>
      </c>
      <c r="N51" s="148" t="str">
        <f>IF(N2="www.guiadecompra.com",Jogo!AN48,"erro")</f>
        <v>Marrocos</v>
      </c>
      <c r="O51" s="149">
        <f>IF(B5I=Tabela!N2,VLOOKUP(N51,Jogo!$A$45:$I$48,2,FALSE),0)</f>
        <v>1</v>
      </c>
      <c r="P51" s="150">
        <f>IF(D5I=Tabela!N3,VLOOKUP(N51,Jogo!$A$45:$I$48,3,FALSE),0)</f>
        <v>3</v>
      </c>
      <c r="Q51" s="150">
        <f>VLOOKUP(N51,Jogo!$A$45:$I$48,4,FALSE)</f>
        <v>0</v>
      </c>
      <c r="R51" s="150">
        <f>VLOOKUP(N51,Jogo!$A$45:$I$48,5,FALSE)</f>
        <v>1</v>
      </c>
      <c r="S51" s="150">
        <f>VLOOKUP(N51,Jogo!$A$45:$I$48,6,FALSE)</f>
        <v>2</v>
      </c>
      <c r="T51" s="150">
        <f>VLOOKUP(N51,Jogo!$A$45:$I$48,7,FALSE)</f>
        <v>4</v>
      </c>
      <c r="U51" s="150">
        <f>VLOOKUP(N51,Jogo!$A$45:$I$48,8,FALSE)</f>
        <v>6</v>
      </c>
      <c r="V51" s="151">
        <f>VLOOKUP(N51,Jogo!$A$45:$I$48,9,FALSE)</f>
        <v>-2</v>
      </c>
    </row>
    <row r="52" spans="1:22" ht="16" customHeight="1">
      <c r="A52" s="257"/>
      <c r="C52" s="19"/>
      <c r="D52" s="20"/>
      <c r="E52" s="21"/>
      <c r="F52" s="22"/>
      <c r="G52" s="23"/>
      <c r="H52" s="23"/>
      <c r="I52" s="23"/>
      <c r="J52" s="23"/>
      <c r="K52" s="2"/>
      <c r="L52" s="24"/>
      <c r="M52" s="180"/>
      <c r="O52" s="21"/>
      <c r="P52" s="21"/>
      <c r="Q52" s="21"/>
      <c r="R52" s="21"/>
      <c r="S52" s="21"/>
      <c r="T52" s="21"/>
      <c r="U52" s="21"/>
      <c r="V52" s="21"/>
    </row>
    <row r="53" spans="1:22" ht="16" customHeight="1">
      <c r="A53" s="256"/>
      <c r="C53" s="409" t="s">
        <v>22</v>
      </c>
      <c r="D53" s="410"/>
      <c r="E53" s="410"/>
      <c r="F53" s="64"/>
      <c r="G53" s="392"/>
      <c r="H53" s="392"/>
      <c r="I53" s="392"/>
      <c r="J53" s="64"/>
      <c r="K53" s="65"/>
      <c r="L53" s="66"/>
      <c r="M53" s="183"/>
      <c r="N53" s="65"/>
      <c r="O53" s="64"/>
      <c r="P53" s="64"/>
      <c r="Q53" s="64"/>
      <c r="R53" s="64"/>
      <c r="S53" s="67"/>
      <c r="T53" s="67"/>
      <c r="U53" s="67"/>
      <c r="V53" s="276"/>
    </row>
    <row r="54" spans="1:22" ht="18" customHeight="1">
      <c r="A54" s="256"/>
      <c r="C54" s="264">
        <v>44889</v>
      </c>
      <c r="D54" s="68">
        <v>0.29166666666666669</v>
      </c>
      <c r="E54" s="162" t="str">
        <f>time!G3</f>
        <v>Suiça</v>
      </c>
      <c r="F54" s="161"/>
      <c r="G54" s="69">
        <v>2</v>
      </c>
      <c r="H54" s="70" t="s">
        <v>2</v>
      </c>
      <c r="I54" s="69">
        <v>1</v>
      </c>
      <c r="J54" s="163"/>
      <c r="K54" s="218" t="str">
        <f>time!G4</f>
        <v>Camarões</v>
      </c>
      <c r="L54" s="309" t="s">
        <v>116</v>
      </c>
      <c r="M54" s="184"/>
      <c r="N54" s="377" t="s">
        <v>23</v>
      </c>
      <c r="O54" s="377"/>
      <c r="P54" s="377"/>
      <c r="Q54" s="377"/>
      <c r="R54" s="377"/>
      <c r="S54" s="377"/>
      <c r="T54" s="377"/>
      <c r="U54" s="377"/>
      <c r="V54" s="378"/>
    </row>
    <row r="55" spans="1:22" ht="18" customHeight="1">
      <c r="A55" s="256"/>
      <c r="C55" s="264">
        <v>44889</v>
      </c>
      <c r="D55" s="68">
        <v>0.66666666666666663</v>
      </c>
      <c r="E55" s="162" t="str">
        <f>time!G1</f>
        <v>Brasil</v>
      </c>
      <c r="F55" s="161"/>
      <c r="G55" s="69">
        <v>3</v>
      </c>
      <c r="H55" s="70" t="s">
        <v>2</v>
      </c>
      <c r="I55" s="69">
        <v>1</v>
      </c>
      <c r="J55" s="163"/>
      <c r="K55" s="218" t="str">
        <f>time!G2</f>
        <v>Sérvia</v>
      </c>
      <c r="L55" s="309" t="s">
        <v>120</v>
      </c>
      <c r="M55" s="185"/>
      <c r="N55" s="16"/>
      <c r="O55" s="133" t="s">
        <v>4</v>
      </c>
      <c r="P55" s="133" t="s">
        <v>5</v>
      </c>
      <c r="Q55" s="133" t="s">
        <v>6</v>
      </c>
      <c r="R55" s="133" t="s">
        <v>7</v>
      </c>
      <c r="S55" s="133" t="s">
        <v>8</v>
      </c>
      <c r="T55" s="133" t="s">
        <v>9</v>
      </c>
      <c r="U55" s="133" t="s">
        <v>10</v>
      </c>
      <c r="V55" s="134" t="s">
        <v>11</v>
      </c>
    </row>
    <row r="56" spans="1:22" ht="18" customHeight="1">
      <c r="A56" s="256"/>
      <c r="C56" s="264">
        <v>44893</v>
      </c>
      <c r="D56" s="68">
        <v>0.29166666666666669</v>
      </c>
      <c r="E56" s="162" t="str">
        <f>time!G4</f>
        <v>Camarões</v>
      </c>
      <c r="F56" s="161"/>
      <c r="G56" s="69">
        <v>1</v>
      </c>
      <c r="H56" s="70" t="s">
        <v>2</v>
      </c>
      <c r="I56" s="69">
        <v>0</v>
      </c>
      <c r="J56" s="163"/>
      <c r="K56" s="218" t="str">
        <f>time!G2</f>
        <v>Sérvia</v>
      </c>
      <c r="L56" s="309" t="s">
        <v>116</v>
      </c>
      <c r="M56" s="185">
        <f>IF(P56&gt;0,1,"")</f>
        <v>1</v>
      </c>
      <c r="N56" s="195" t="str">
        <f>IF(N2="www.guiadecompra.com",Jogo!AN53,"erro")</f>
        <v>Brasil</v>
      </c>
      <c r="O56" s="17">
        <f>IF(B5I=Tabela!N2,VLOOKUP(N56,Jogo!$A$53:$I$56,2,FALSE),0)</f>
        <v>9</v>
      </c>
      <c r="P56" s="18">
        <f>IF(D5I=Tabela!N3,VLOOKUP(N56,Jogo!$A$53:$I$56,3,FALSE),0)</f>
        <v>3</v>
      </c>
      <c r="Q56" s="18">
        <f>VLOOKUP(N56,Jogo!$A$53:$I$56,4,FALSE)</f>
        <v>3</v>
      </c>
      <c r="R56" s="18">
        <f>VLOOKUP(N56,Jogo!$A$53:$I$56,5,FALSE)</f>
        <v>0</v>
      </c>
      <c r="S56" s="18">
        <f>VLOOKUP(N56,Jogo!$A$53:$I$56,6,FALSE)</f>
        <v>0</v>
      </c>
      <c r="T56" s="18">
        <f>VLOOKUP(N56,Jogo!$A$53:$I$56,7,FALSE)</f>
        <v>8</v>
      </c>
      <c r="U56" s="18">
        <f>VLOOKUP(N56,Jogo!$A$53:$I$56,8,FALSE)</f>
        <v>1</v>
      </c>
      <c r="V56" s="135">
        <f>VLOOKUP(N56,Jogo!$A$53:$I$56,9,FALSE)</f>
        <v>7</v>
      </c>
    </row>
    <row r="57" spans="1:22" ht="18" customHeight="1">
      <c r="A57" s="256"/>
      <c r="C57" s="264">
        <v>44893</v>
      </c>
      <c r="D57" s="68">
        <v>0.54166666666666663</v>
      </c>
      <c r="E57" s="162" t="str">
        <f>time!G1</f>
        <v>Brasil</v>
      </c>
      <c r="F57" s="161"/>
      <c r="G57" s="69">
        <v>2</v>
      </c>
      <c r="H57" s="70" t="s">
        <v>2</v>
      </c>
      <c r="I57" s="69">
        <v>0</v>
      </c>
      <c r="J57" s="163"/>
      <c r="K57" s="218" t="str">
        <f>time!G3</f>
        <v>Suiça</v>
      </c>
      <c r="L57" s="309" t="s">
        <v>118</v>
      </c>
      <c r="M57" s="185">
        <f>IF(P57&gt;0,2,"")</f>
        <v>2</v>
      </c>
      <c r="N57" s="195" t="str">
        <f>IF(N2="www.guiadecompra.com",Jogo!AN54,"erro")</f>
        <v>Suiça</v>
      </c>
      <c r="O57" s="17">
        <f>IF(B5I=Tabela!N2,VLOOKUP(N57,Jogo!$A$53:$I$56,2,FALSE),0)</f>
        <v>4</v>
      </c>
      <c r="P57" s="18">
        <f>IF(D5I=Tabela!N3,VLOOKUP(N57,Jogo!$A$53:$I$56,3,FALSE),0)</f>
        <v>3</v>
      </c>
      <c r="Q57" s="18">
        <f>VLOOKUP(N57,Jogo!$A$53:$I$56,4,FALSE)</f>
        <v>1</v>
      </c>
      <c r="R57" s="18">
        <f>VLOOKUP(N57,Jogo!$A$53:$I$56,5,FALSE)</f>
        <v>1</v>
      </c>
      <c r="S57" s="18">
        <f>VLOOKUP(N57,Jogo!$A$53:$I$56,6,FALSE)</f>
        <v>1</v>
      </c>
      <c r="T57" s="18">
        <f>VLOOKUP(N57,Jogo!$A$53:$I$56,7,FALSE)</f>
        <v>4</v>
      </c>
      <c r="U57" s="18">
        <f>VLOOKUP(N57,Jogo!$A$53:$I$56,8,FALSE)</f>
        <v>5</v>
      </c>
      <c r="V57" s="135">
        <f>VLOOKUP(N57,Jogo!$A$53:$I$56,9,FALSE)</f>
        <v>-1</v>
      </c>
    </row>
    <row r="58" spans="1:22" ht="18" customHeight="1">
      <c r="A58" s="256"/>
      <c r="C58" s="264">
        <v>44897</v>
      </c>
      <c r="D58" s="68">
        <v>0.66666666666666663</v>
      </c>
      <c r="E58" s="162" t="str">
        <f>time!G4</f>
        <v>Camarões</v>
      </c>
      <c r="F58" s="161"/>
      <c r="G58" s="69">
        <v>0</v>
      </c>
      <c r="H58" s="70" t="s">
        <v>2</v>
      </c>
      <c r="I58" s="69">
        <v>3</v>
      </c>
      <c r="J58" s="163"/>
      <c r="K58" s="218" t="str">
        <f>time!G1</f>
        <v>Brasil</v>
      </c>
      <c r="L58" s="309" t="s">
        <v>120</v>
      </c>
      <c r="M58" s="185">
        <f>IF(P58&gt;0,3,"")</f>
        <v>3</v>
      </c>
      <c r="N58" s="2" t="str">
        <f>IF(N2="www.guiadecompra.com",Jogo!AN55,"erro")</f>
        <v>Camarões</v>
      </c>
      <c r="O58" s="17">
        <f>IF(B5I=Tabela!N2,VLOOKUP(N58,Jogo!$A$53:$I$56,2,FALSE),0)</f>
        <v>3</v>
      </c>
      <c r="P58" s="18">
        <f>IF(D5I=Tabela!N3,VLOOKUP(N58,Jogo!$A$53:$I$56,3,FALSE),0)</f>
        <v>3</v>
      </c>
      <c r="Q58" s="18">
        <f>VLOOKUP(N58,Jogo!$A$53:$I$56,4,FALSE)</f>
        <v>1</v>
      </c>
      <c r="R58" s="18">
        <f>VLOOKUP(N58,Jogo!$A$53:$I$56,5,FALSE)</f>
        <v>0</v>
      </c>
      <c r="S58" s="18">
        <f>VLOOKUP(N58,Jogo!$A$53:$I$56,6,FALSE)</f>
        <v>2</v>
      </c>
      <c r="T58" s="18">
        <f>VLOOKUP(N58,Jogo!$A$53:$I$56,7,FALSE)</f>
        <v>2</v>
      </c>
      <c r="U58" s="18">
        <f>VLOOKUP(N58,Jogo!$A$53:$I$56,8,FALSE)</f>
        <v>5</v>
      </c>
      <c r="V58" s="135">
        <f>VLOOKUP(N58,Jogo!$A$53:$I$56,9,FALSE)</f>
        <v>-3</v>
      </c>
    </row>
    <row r="59" spans="1:22" ht="18" customHeight="1">
      <c r="A59" s="256"/>
      <c r="C59" s="264">
        <v>44897</v>
      </c>
      <c r="D59" s="68">
        <v>0.66666666666666663</v>
      </c>
      <c r="E59" s="162" t="str">
        <f>time!G2</f>
        <v>Sérvia</v>
      </c>
      <c r="F59" s="161"/>
      <c r="G59" s="69">
        <v>2</v>
      </c>
      <c r="H59" s="70" t="s">
        <v>2</v>
      </c>
      <c r="I59" s="69">
        <v>2</v>
      </c>
      <c r="J59" s="163"/>
      <c r="K59" s="218" t="str">
        <f>time!G3</f>
        <v>Suiça</v>
      </c>
      <c r="L59" s="309" t="s">
        <v>118</v>
      </c>
      <c r="M59" s="186">
        <f>IF(P59&gt;0,4,"")</f>
        <v>4</v>
      </c>
      <c r="N59" s="132" t="str">
        <f>IF(N2="www.guiadecompra.com",Jogo!AN56,"erro")</f>
        <v>Sérvia</v>
      </c>
      <c r="O59" s="136">
        <f>IF(B5I=Tabela!N2,VLOOKUP(N59,Jogo!$A$53:$I$56,2,FALSE),0)</f>
        <v>1</v>
      </c>
      <c r="P59" s="137">
        <f>IF(D5I=Tabela!N3,VLOOKUP(N59,Jogo!$A$53:$I$56,3,FALSE),0)</f>
        <v>3</v>
      </c>
      <c r="Q59" s="137">
        <f>VLOOKUP(N59,Jogo!$A$53:$I$56,4,FALSE)</f>
        <v>0</v>
      </c>
      <c r="R59" s="137">
        <f>VLOOKUP(N59,Jogo!$A$53:$I$56,5,FALSE)</f>
        <v>1</v>
      </c>
      <c r="S59" s="137">
        <f>VLOOKUP(N59,Jogo!$A$53:$I$56,6,FALSE)</f>
        <v>2</v>
      </c>
      <c r="T59" s="137">
        <f>VLOOKUP(N59,Jogo!$A$53:$I$56,7,FALSE)</f>
        <v>3</v>
      </c>
      <c r="U59" s="137">
        <f>VLOOKUP(N59,Jogo!$A$53:$I$56,8,FALSE)</f>
        <v>6</v>
      </c>
      <c r="V59" s="138">
        <f>VLOOKUP(N59,Jogo!$A$53:$I$56,9,FALSE)</f>
        <v>-3</v>
      </c>
    </row>
    <row r="60" spans="1:22" ht="16" customHeight="1">
      <c r="A60" s="257"/>
      <c r="C60" s="19"/>
      <c r="D60" s="20"/>
      <c r="E60" s="21"/>
      <c r="F60" s="22"/>
      <c r="G60" s="23"/>
      <c r="H60" s="23"/>
      <c r="I60" s="23"/>
      <c r="J60" s="23"/>
      <c r="K60" s="2"/>
      <c r="L60" s="24"/>
      <c r="M60" s="180"/>
      <c r="O60" s="21"/>
      <c r="P60" s="21"/>
      <c r="Q60" s="21"/>
      <c r="R60" s="21"/>
      <c r="S60" s="21"/>
      <c r="T60" s="21"/>
      <c r="U60" s="21"/>
      <c r="V60" s="21"/>
    </row>
    <row r="61" spans="1:22" ht="16" customHeight="1">
      <c r="A61" s="256"/>
      <c r="C61" s="390" t="s">
        <v>24</v>
      </c>
      <c r="D61" s="390"/>
      <c r="E61" s="390"/>
      <c r="F61" s="71"/>
      <c r="G61" s="393"/>
      <c r="H61" s="393"/>
      <c r="I61" s="393"/>
      <c r="J61" s="71"/>
      <c r="K61" s="72"/>
      <c r="L61" s="73"/>
      <c r="M61" s="187"/>
      <c r="N61" s="72"/>
      <c r="O61" s="71"/>
      <c r="P61" s="71"/>
      <c r="Q61" s="71"/>
      <c r="R61" s="71"/>
      <c r="S61" s="74"/>
      <c r="T61" s="75"/>
      <c r="U61" s="75"/>
      <c r="V61" s="275"/>
    </row>
    <row r="62" spans="1:22" ht="18" customHeight="1">
      <c r="A62" s="256"/>
      <c r="C62" s="265">
        <v>44889</v>
      </c>
      <c r="D62" s="76">
        <v>0.41666666666666669</v>
      </c>
      <c r="E62" s="167" t="str">
        <f>time!H3</f>
        <v>Uruguai</v>
      </c>
      <c r="F62" s="166"/>
      <c r="G62" s="77">
        <v>2</v>
      </c>
      <c r="H62" s="78" t="s">
        <v>2</v>
      </c>
      <c r="I62" s="77">
        <v>1</v>
      </c>
      <c r="J62" s="168"/>
      <c r="K62" s="219" t="str">
        <f>time!H4</f>
        <v>Coreia do Sul</v>
      </c>
      <c r="L62" s="311" t="s">
        <v>115</v>
      </c>
      <c r="M62" s="188"/>
      <c r="N62" s="403" t="s">
        <v>43</v>
      </c>
      <c r="O62" s="403"/>
      <c r="P62" s="403"/>
      <c r="Q62" s="403"/>
      <c r="R62" s="403"/>
      <c r="S62" s="403"/>
      <c r="T62" s="403"/>
      <c r="U62" s="403"/>
      <c r="V62" s="404"/>
    </row>
    <row r="63" spans="1:22" ht="18" customHeight="1">
      <c r="A63" s="256"/>
      <c r="C63" s="265">
        <v>44889</v>
      </c>
      <c r="D63" s="76">
        <v>0.54166666666666663</v>
      </c>
      <c r="E63" s="167" t="str">
        <f>time!H1</f>
        <v>Portugal</v>
      </c>
      <c r="F63" s="166"/>
      <c r="G63" s="77">
        <v>1</v>
      </c>
      <c r="H63" s="78" t="s">
        <v>2</v>
      </c>
      <c r="I63" s="77">
        <v>0</v>
      </c>
      <c r="J63" s="168"/>
      <c r="K63" s="219" t="str">
        <f>time!H2</f>
        <v>Gana</v>
      </c>
      <c r="L63" s="311" t="s">
        <v>118</v>
      </c>
      <c r="M63" s="189"/>
      <c r="N63" s="16"/>
      <c r="O63" s="140" t="s">
        <v>4</v>
      </c>
      <c r="P63" s="140" t="s">
        <v>5</v>
      </c>
      <c r="Q63" s="140" t="s">
        <v>6</v>
      </c>
      <c r="R63" s="140" t="s">
        <v>7</v>
      </c>
      <c r="S63" s="140" t="s">
        <v>8</v>
      </c>
      <c r="T63" s="140" t="s">
        <v>9</v>
      </c>
      <c r="U63" s="140" t="s">
        <v>10</v>
      </c>
      <c r="V63" s="141" t="s">
        <v>11</v>
      </c>
    </row>
    <row r="64" spans="1:22" ht="18" customHeight="1">
      <c r="A64" s="256"/>
      <c r="C64" s="265">
        <v>44893</v>
      </c>
      <c r="D64" s="76">
        <v>0.41666666666666669</v>
      </c>
      <c r="E64" s="167" t="str">
        <f>time!H4</f>
        <v>Coreia do Sul</v>
      </c>
      <c r="F64" s="166"/>
      <c r="G64" s="77">
        <v>2</v>
      </c>
      <c r="H64" s="78" t="s">
        <v>2</v>
      </c>
      <c r="I64" s="77">
        <v>3</v>
      </c>
      <c r="J64" s="168"/>
      <c r="K64" s="219" t="str">
        <f>time!H2</f>
        <v>Gana</v>
      </c>
      <c r="L64" s="311" t="s">
        <v>115</v>
      </c>
      <c r="M64" s="189">
        <f>IF(P64&gt;0,1,"")</f>
        <v>1</v>
      </c>
      <c r="N64" s="195" t="str">
        <f>IF(N2="www.guiadecompra.com",Jogo!AN61,"erro")</f>
        <v>Portugal</v>
      </c>
      <c r="O64" s="17">
        <f>IF(B5I=Tabela!N2,VLOOKUP(N64,Jogo!$A$61:$I$64,2,FALSE),0)</f>
        <v>9</v>
      </c>
      <c r="P64" s="18">
        <f>IF(D5I=Tabela!N3,VLOOKUP(N64,Jogo!$A$61:$I$64,3,FALSE),0)</f>
        <v>3</v>
      </c>
      <c r="Q64" s="18">
        <f>VLOOKUP(N64,Jogo!$A$61:$I$64,4,FALSE)</f>
        <v>3</v>
      </c>
      <c r="R64" s="18">
        <f>VLOOKUP(N64,Jogo!$A$61:$I$64,5,FALSE)</f>
        <v>0</v>
      </c>
      <c r="S64" s="18">
        <f>VLOOKUP(N64,Jogo!$A$61:$I$64,6,FALSE)</f>
        <v>0</v>
      </c>
      <c r="T64" s="18">
        <f>VLOOKUP(N64,Jogo!$A$61:$I$64,7,FALSE)</f>
        <v>8</v>
      </c>
      <c r="U64" s="18">
        <f>VLOOKUP(N64,Jogo!$A$61:$I$64,8,FALSE)</f>
        <v>0</v>
      </c>
      <c r="V64" s="142">
        <f>VLOOKUP(N64,Jogo!$A$61:$I$64,9,FALSE)</f>
        <v>8</v>
      </c>
    </row>
    <row r="65" spans="1:22" ht="18" customHeight="1">
      <c r="A65" s="256"/>
      <c r="C65" s="265">
        <v>44893</v>
      </c>
      <c r="D65" s="76">
        <v>0.66666666666666663</v>
      </c>
      <c r="E65" s="167" t="str">
        <f>time!H1</f>
        <v>Portugal</v>
      </c>
      <c r="F65" s="166"/>
      <c r="G65" s="77">
        <v>3</v>
      </c>
      <c r="H65" s="78" t="s">
        <v>2</v>
      </c>
      <c r="I65" s="77">
        <v>0</v>
      </c>
      <c r="J65" s="168"/>
      <c r="K65" s="219" t="str">
        <f>time!H3</f>
        <v>Uruguai</v>
      </c>
      <c r="L65" s="311" t="s">
        <v>120</v>
      </c>
      <c r="M65" s="189">
        <f>IF(P65&gt;0,2,"")</f>
        <v>2</v>
      </c>
      <c r="N65" s="195" t="str">
        <f>IF(N2="www.guiadecompra.com",Jogo!AN62,"erro")</f>
        <v>Uruguai</v>
      </c>
      <c r="O65" s="17">
        <f>IF(B5I=Tabela!N2,VLOOKUP(N65,Jogo!$A$61:$I$64,2,FALSE),0)</f>
        <v>6</v>
      </c>
      <c r="P65" s="18">
        <f>IF(D5I=Tabela!N3,VLOOKUP(N65,Jogo!$A$61:$I$64,3,FALSE),0)</f>
        <v>3</v>
      </c>
      <c r="Q65" s="18">
        <f>VLOOKUP(N65,Jogo!$A$61:$I$64,4,FALSE)</f>
        <v>2</v>
      </c>
      <c r="R65" s="18">
        <f>VLOOKUP(N65,Jogo!$A$61:$I$64,5,FALSE)</f>
        <v>0</v>
      </c>
      <c r="S65" s="18">
        <f>VLOOKUP(N65,Jogo!$A$61:$I$64,6,FALSE)</f>
        <v>1</v>
      </c>
      <c r="T65" s="18">
        <f>VLOOKUP(N65,Jogo!$A$61:$I$64,7,FALSE)</f>
        <v>3</v>
      </c>
      <c r="U65" s="18">
        <f>VLOOKUP(N65,Jogo!$A$61:$I$64,8,FALSE)</f>
        <v>4</v>
      </c>
      <c r="V65" s="142">
        <f>VLOOKUP(N65,Jogo!$A$61:$I$64,9,FALSE)</f>
        <v>-1</v>
      </c>
    </row>
    <row r="66" spans="1:22" ht="18" customHeight="1">
      <c r="A66" s="256"/>
      <c r="C66" s="265">
        <v>44897</v>
      </c>
      <c r="D66" s="76">
        <v>0.5</v>
      </c>
      <c r="E66" s="167" t="str">
        <f>time!H4</f>
        <v>Coreia do Sul</v>
      </c>
      <c r="F66" s="166"/>
      <c r="G66" s="77">
        <v>0</v>
      </c>
      <c r="H66" s="78" t="s">
        <v>2</v>
      </c>
      <c r="I66" s="77">
        <v>4</v>
      </c>
      <c r="J66" s="168"/>
      <c r="K66" s="219" t="str">
        <f>time!H1</f>
        <v>Portugal</v>
      </c>
      <c r="L66" s="311" t="s">
        <v>115</v>
      </c>
      <c r="M66" s="189">
        <f>IF(P66&gt;0,3,"")</f>
        <v>3</v>
      </c>
      <c r="N66" s="2" t="str">
        <f>IF(N2="www.guiadecompra.com",Jogo!AN63,"erro")</f>
        <v>Gana</v>
      </c>
      <c r="O66" s="17">
        <f>IF(B5I=Tabela!N2,VLOOKUP(N66,Jogo!$A$61:$I$64,2,FALSE),0)</f>
        <v>3</v>
      </c>
      <c r="P66" s="18">
        <f>IF(D5I=Tabela!N3,VLOOKUP(N66,Jogo!$A$61:$I$64,3,FALSE),0)</f>
        <v>3</v>
      </c>
      <c r="Q66" s="18">
        <f>VLOOKUP(N66,Jogo!$A$61:$I$64,4,FALSE)</f>
        <v>1</v>
      </c>
      <c r="R66" s="18">
        <f>VLOOKUP(N66,Jogo!$A$61:$I$64,5,FALSE)</f>
        <v>0</v>
      </c>
      <c r="S66" s="18">
        <f>VLOOKUP(N66,Jogo!$A$61:$I$64,6,FALSE)</f>
        <v>2</v>
      </c>
      <c r="T66" s="18">
        <f>VLOOKUP(N66,Jogo!$A$61:$I$64,7,FALSE)</f>
        <v>3</v>
      </c>
      <c r="U66" s="18">
        <f>VLOOKUP(N66,Jogo!$A$61:$I$64,8,FALSE)</f>
        <v>4</v>
      </c>
      <c r="V66" s="142">
        <f>VLOOKUP(N66,Jogo!$A$61:$I$64,9,FALSE)</f>
        <v>-1</v>
      </c>
    </row>
    <row r="67" spans="1:22" ht="18" customHeight="1">
      <c r="A67" s="256"/>
      <c r="C67" s="265">
        <v>44897</v>
      </c>
      <c r="D67" s="76">
        <v>0.5</v>
      </c>
      <c r="E67" s="167" t="str">
        <f>time!H2</f>
        <v>Gana</v>
      </c>
      <c r="F67" s="166"/>
      <c r="G67" s="77">
        <v>0</v>
      </c>
      <c r="H67" s="78" t="s">
        <v>2</v>
      </c>
      <c r="I67" s="77">
        <v>1</v>
      </c>
      <c r="J67" s="168"/>
      <c r="K67" s="219" t="str">
        <f>time!H3</f>
        <v>Uruguai</v>
      </c>
      <c r="L67" s="311" t="s">
        <v>116</v>
      </c>
      <c r="M67" s="190">
        <f>IF(P67&gt;0,4,"")</f>
        <v>4</v>
      </c>
      <c r="N67" s="139" t="str">
        <f>IF(N2="www.guiadecompra.com",Jogo!AN64,"erro")</f>
        <v>Coreia do Sul</v>
      </c>
      <c r="O67" s="143">
        <f>IF(B5I=Tabela!N2,VLOOKUP(N67,Jogo!$A$61:$I$64,2,FALSE),0)</f>
        <v>0</v>
      </c>
      <c r="P67" s="144">
        <f>IF(D5I=Tabela!N3,VLOOKUP(N67,Jogo!$A$61:$I$64,3,FALSE),0)</f>
        <v>3</v>
      </c>
      <c r="Q67" s="144">
        <f>VLOOKUP(N67,Jogo!$A$61:$I$64,4,FALSE)</f>
        <v>0</v>
      </c>
      <c r="R67" s="144">
        <f>VLOOKUP(N67,Jogo!$A$61:$I$64,5,FALSE)</f>
        <v>0</v>
      </c>
      <c r="S67" s="144">
        <f>VLOOKUP(N67,Jogo!$A$61:$I$64,6,FALSE)</f>
        <v>3</v>
      </c>
      <c r="T67" s="144">
        <f>VLOOKUP(N67,Jogo!$A$61:$I$64,7,FALSE)</f>
        <v>3</v>
      </c>
      <c r="U67" s="144">
        <f>VLOOKUP(N67,Jogo!$A$61:$I$64,8,FALSE)</f>
        <v>9</v>
      </c>
      <c r="V67" s="145">
        <f>VLOOKUP(N67,Jogo!$A$61:$I$64,9,FALSE)</f>
        <v>-6</v>
      </c>
    </row>
    <row r="68" spans="1:22" ht="16" customHeight="1">
      <c r="A68" s="256"/>
      <c r="E68" s="2"/>
      <c r="F68" s="22"/>
      <c r="G68" s="22"/>
      <c r="H68" s="22"/>
      <c r="I68" s="22"/>
      <c r="J68" s="22"/>
      <c r="K68" s="2"/>
      <c r="L68" s="1"/>
      <c r="M68" s="2"/>
    </row>
    <row r="69" spans="1:22" ht="16" customHeight="1">
      <c r="A69" s="256"/>
      <c r="E69" s="2"/>
      <c r="F69" s="22"/>
      <c r="G69" s="22"/>
      <c r="H69" s="22"/>
      <c r="I69" s="22"/>
      <c r="J69" s="22"/>
      <c r="K69" s="2"/>
      <c r="L69" s="1"/>
      <c r="M69" s="2"/>
    </row>
    <row r="70" spans="1:22" ht="16" customHeight="1" thickBot="1">
      <c r="A70" s="256"/>
      <c r="C70" s="197" t="s">
        <v>25</v>
      </c>
      <c r="D70" s="198"/>
      <c r="E70" s="198"/>
      <c r="F70" s="199"/>
      <c r="G70" s="387" t="s">
        <v>26</v>
      </c>
      <c r="H70" s="387"/>
      <c r="I70" s="387"/>
      <c r="J70" s="199"/>
      <c r="K70" s="198"/>
      <c r="L70" s="200"/>
      <c r="M70" s="198"/>
      <c r="N70" s="286"/>
      <c r="O70" s="286"/>
      <c r="P70" s="286"/>
      <c r="Q70" s="286"/>
      <c r="R70" s="286"/>
      <c r="S70" s="286"/>
      <c r="T70" s="286"/>
      <c r="U70" s="286"/>
      <c r="V70" s="286"/>
    </row>
    <row r="71" spans="1:22" ht="20" customHeight="1" thickTop="1">
      <c r="A71" s="256"/>
      <c r="C71" s="25">
        <v>44898</v>
      </c>
      <c r="D71" s="171">
        <v>0.5</v>
      </c>
      <c r="E71" s="26" t="str">
        <f>IF(P8=3,N8,"1º do grupo A")</f>
        <v>Holanda</v>
      </c>
      <c r="F71" s="27"/>
      <c r="G71" s="91">
        <v>3</v>
      </c>
      <c r="H71" s="92" t="s">
        <v>2</v>
      </c>
      <c r="I71" s="93">
        <v>1</v>
      </c>
      <c r="J71" s="27"/>
      <c r="K71" s="28" t="str">
        <f>IF(P17=3,N17,"2º do grupo B")</f>
        <v>País de Gales</v>
      </c>
      <c r="L71" s="312" t="s">
        <v>121</v>
      </c>
      <c r="M71" s="117">
        <v>49</v>
      </c>
      <c r="N71" s="286"/>
      <c r="O71" s="286"/>
      <c r="P71" s="286"/>
      <c r="Q71" s="286"/>
      <c r="R71" s="286"/>
      <c r="S71" s="286"/>
      <c r="T71" s="286"/>
      <c r="U71" s="286"/>
      <c r="V71" s="286"/>
    </row>
    <row r="72" spans="1:22" ht="20" customHeight="1">
      <c r="A72" s="256"/>
      <c r="C72" s="25">
        <v>44898</v>
      </c>
      <c r="D72" s="171">
        <v>0.66666666666666663</v>
      </c>
      <c r="E72" s="26" t="str">
        <f>IF(P24=3,N24,"1º do grupo C")</f>
        <v>Argentina</v>
      </c>
      <c r="F72" s="27"/>
      <c r="G72" s="29">
        <v>2</v>
      </c>
      <c r="H72" s="15" t="s">
        <v>2</v>
      </c>
      <c r="I72" s="30">
        <v>0</v>
      </c>
      <c r="J72" s="27"/>
      <c r="K72" s="28" t="str">
        <f>IF(P33=3,N33,"2º do grupo D")</f>
        <v>França</v>
      </c>
      <c r="L72" s="312" t="s">
        <v>114</v>
      </c>
      <c r="M72" s="117">
        <v>50</v>
      </c>
      <c r="N72" s="286"/>
      <c r="O72" s="286"/>
      <c r="P72" s="286"/>
      <c r="Q72" s="286"/>
      <c r="R72" s="286"/>
      <c r="S72" s="286"/>
      <c r="T72" s="286"/>
      <c r="U72" s="286"/>
      <c r="V72" s="286"/>
    </row>
    <row r="73" spans="1:22" ht="20" customHeight="1">
      <c r="A73" s="256"/>
      <c r="C73" s="25">
        <v>44899</v>
      </c>
      <c r="D73" s="171">
        <v>0.66666666666666663</v>
      </c>
      <c r="E73" s="26" t="str">
        <f>IF(P16=3,N16,"1º do grupo B")</f>
        <v>Inglaterra</v>
      </c>
      <c r="F73" s="27"/>
      <c r="G73" s="29">
        <v>1</v>
      </c>
      <c r="H73" s="15" t="s">
        <v>2</v>
      </c>
      <c r="I73" s="30">
        <v>0</v>
      </c>
      <c r="J73" s="27"/>
      <c r="K73" s="28" t="str">
        <f>IF(P9=3,N9,"2º do grupo A")</f>
        <v>Equador</v>
      </c>
      <c r="L73" s="312" t="s">
        <v>112</v>
      </c>
      <c r="M73" s="118">
        <v>51</v>
      </c>
      <c r="N73" s="286"/>
      <c r="O73" s="286"/>
      <c r="P73" s="286"/>
      <c r="Q73" s="286"/>
      <c r="R73" s="286"/>
      <c r="S73" s="286"/>
      <c r="T73" s="286"/>
      <c r="U73" s="286"/>
      <c r="V73" s="286"/>
    </row>
    <row r="74" spans="1:22" ht="20" customHeight="1">
      <c r="A74" s="256"/>
      <c r="C74" s="25">
        <v>44899</v>
      </c>
      <c r="D74" s="171">
        <v>0.5</v>
      </c>
      <c r="E74" s="26" t="str">
        <f>IF(P32=3,N32,"1º do grupo D")</f>
        <v>Dinamarca</v>
      </c>
      <c r="F74" s="27"/>
      <c r="G74" s="29">
        <v>1</v>
      </c>
      <c r="H74" s="15" t="s">
        <v>2</v>
      </c>
      <c r="I74" s="30">
        <v>2</v>
      </c>
      <c r="J74" s="27"/>
      <c r="K74" s="28" t="str">
        <f>IF(P25=3,N25,"2º do grupo C")</f>
        <v>Polônia</v>
      </c>
      <c r="L74" s="312" t="s">
        <v>111</v>
      </c>
      <c r="M74" s="118">
        <v>52</v>
      </c>
      <c r="N74" s="286"/>
      <c r="O74" s="286"/>
      <c r="P74" s="286"/>
      <c r="Q74" s="286"/>
      <c r="R74" s="286"/>
      <c r="S74" s="286"/>
      <c r="T74" s="286"/>
      <c r="U74" s="286"/>
      <c r="V74" s="286"/>
    </row>
    <row r="75" spans="1:22" ht="20" customHeight="1">
      <c r="A75" s="256"/>
      <c r="C75" s="25">
        <v>44900</v>
      </c>
      <c r="D75" s="171">
        <v>0.5</v>
      </c>
      <c r="E75" s="26" t="str">
        <f>IF(P40=3,N40,"1º do grupo E")</f>
        <v>Alemanha</v>
      </c>
      <c r="F75" s="27"/>
      <c r="G75" s="29">
        <v>2</v>
      </c>
      <c r="H75" s="15" t="s">
        <v>2</v>
      </c>
      <c r="I75" s="30">
        <v>0</v>
      </c>
      <c r="J75" s="27"/>
      <c r="K75" s="28" t="str">
        <f>IF(P49=3,N49,"2º do grupo F")</f>
        <v>Bélgica</v>
      </c>
      <c r="L75" s="312" t="s">
        <v>116</v>
      </c>
      <c r="M75" s="119">
        <v>53</v>
      </c>
      <c r="N75" s="287"/>
      <c r="O75" s="288"/>
      <c r="P75" s="288"/>
      <c r="Q75" s="288"/>
      <c r="R75" s="288"/>
      <c r="S75" s="288"/>
      <c r="T75" s="288"/>
      <c r="U75" s="287"/>
      <c r="V75" s="288"/>
    </row>
    <row r="76" spans="1:22" ht="20" customHeight="1">
      <c r="A76" s="256"/>
      <c r="C76" s="25">
        <v>44900</v>
      </c>
      <c r="D76" s="171">
        <v>0.66666666666666663</v>
      </c>
      <c r="E76" s="26" t="str">
        <f>IF(P56=3,N56,"1º do grupo G")</f>
        <v>Brasil</v>
      </c>
      <c r="F76" s="27"/>
      <c r="G76" s="29">
        <v>3</v>
      </c>
      <c r="H76" s="15" t="s">
        <v>2</v>
      </c>
      <c r="I76" s="30">
        <v>1</v>
      </c>
      <c r="J76" s="27"/>
      <c r="K76" s="28" t="str">
        <f>IF(P65=3,N65,"2º do grupo H")</f>
        <v>Uruguai</v>
      </c>
      <c r="L76" s="312" t="s">
        <v>118</v>
      </c>
      <c r="M76" s="119">
        <v>54</v>
      </c>
      <c r="N76" s="289"/>
      <c r="O76" s="288"/>
      <c r="P76" s="288"/>
      <c r="Q76" s="288"/>
      <c r="R76" s="288"/>
      <c r="S76" s="288"/>
      <c r="T76" s="288"/>
      <c r="U76" s="288"/>
      <c r="V76" s="288"/>
    </row>
    <row r="77" spans="1:22" ht="20" customHeight="1">
      <c r="A77" s="256"/>
      <c r="C77" s="25">
        <v>44901</v>
      </c>
      <c r="D77" s="171">
        <v>0.5</v>
      </c>
      <c r="E77" s="26" t="str">
        <f>IF(P48=3,N48,"1º do grupo F")</f>
        <v>Croácia</v>
      </c>
      <c r="F77" s="27"/>
      <c r="G77" s="29">
        <v>1</v>
      </c>
      <c r="H77" s="15" t="s">
        <v>2</v>
      </c>
      <c r="I77" s="30">
        <v>3</v>
      </c>
      <c r="J77" s="27"/>
      <c r="K77" s="28" t="str">
        <f>IF(P41=3,N41,"2º do grupo E")</f>
        <v>Espanha</v>
      </c>
      <c r="L77" s="312" t="s">
        <v>115</v>
      </c>
      <c r="M77" s="120">
        <v>55</v>
      </c>
      <c r="N77" s="379"/>
      <c r="O77" s="379"/>
      <c r="P77" s="379"/>
      <c r="Q77" s="379"/>
      <c r="R77" s="379"/>
      <c r="S77" s="379"/>
      <c r="T77" s="379"/>
      <c r="U77" s="379"/>
      <c r="V77" s="379"/>
    </row>
    <row r="78" spans="1:22" ht="20" customHeight="1">
      <c r="A78" s="256"/>
      <c r="C78" s="25">
        <v>44901</v>
      </c>
      <c r="D78" s="171">
        <v>0.66666666666666663</v>
      </c>
      <c r="E78" s="26" t="str">
        <f>IF(P64=3,N64,"1º do grupo H")</f>
        <v>Portugal</v>
      </c>
      <c r="F78" s="27"/>
      <c r="G78" s="29">
        <v>2</v>
      </c>
      <c r="H78" s="15" t="s">
        <v>2</v>
      </c>
      <c r="I78" s="30">
        <v>1</v>
      </c>
      <c r="J78" s="27"/>
      <c r="K78" s="28" t="str">
        <f>IF(P57=3,N57,"2º do grupo G")</f>
        <v>Suiça</v>
      </c>
      <c r="L78" s="312" t="s">
        <v>120</v>
      </c>
      <c r="M78" s="120">
        <v>56</v>
      </c>
      <c r="N78" s="290"/>
      <c r="O78" s="380" t="s">
        <v>69</v>
      </c>
      <c r="P78" s="380"/>
      <c r="Q78" s="380"/>
      <c r="R78" s="380"/>
      <c r="S78" s="380"/>
      <c r="T78" s="380"/>
      <c r="U78" s="380"/>
      <c r="V78" s="380"/>
    </row>
    <row r="79" spans="1:22" ht="16" customHeight="1">
      <c r="A79" s="256"/>
      <c r="C79" s="31"/>
      <c r="D79" s="32"/>
      <c r="E79" s="8"/>
      <c r="F79" s="33"/>
      <c r="G79" s="34"/>
      <c r="H79" s="34"/>
      <c r="I79" s="34"/>
      <c r="J79" s="34"/>
      <c r="K79" s="8"/>
      <c r="L79" s="35"/>
      <c r="M79" s="36"/>
      <c r="N79" s="256"/>
      <c r="O79" s="256"/>
      <c r="P79" s="256"/>
      <c r="Q79" s="256"/>
      <c r="R79" s="256"/>
      <c r="S79" s="256"/>
      <c r="T79" s="256"/>
      <c r="U79" s="256"/>
      <c r="V79" s="256"/>
    </row>
    <row r="80" spans="1:22" ht="16" customHeight="1" thickBot="1">
      <c r="A80" s="256"/>
      <c r="C80" s="197" t="s">
        <v>27</v>
      </c>
      <c r="D80" s="198"/>
      <c r="E80" s="198"/>
      <c r="F80" s="199"/>
      <c r="G80" s="387"/>
      <c r="H80" s="387"/>
      <c r="I80" s="387"/>
      <c r="J80" s="199"/>
      <c r="K80" s="198"/>
      <c r="L80" s="200"/>
      <c r="M80" s="198"/>
      <c r="N80" s="256"/>
      <c r="O80" s="256"/>
      <c r="P80" s="256"/>
      <c r="Q80" s="256"/>
      <c r="R80" s="256"/>
      <c r="S80" s="256"/>
      <c r="T80" s="256"/>
      <c r="U80" s="256"/>
      <c r="V80" s="256"/>
    </row>
    <row r="81" spans="1:22" ht="20" customHeight="1" thickTop="1">
      <c r="A81" s="256"/>
      <c r="C81" s="25">
        <v>44904</v>
      </c>
      <c r="D81" s="171">
        <v>0.66666666666666663</v>
      </c>
      <c r="E81" s="26" t="str">
        <f>IF(OR(G71="",I71="",AND(G71=I71,OR(F71="",J71=""))),"Vencedor do 49",IF(G71=I71,IF(F71&gt;J71,E71,K71),IF(G71&gt;I71,E71,K71)))</f>
        <v>Holanda</v>
      </c>
      <c r="F81" s="27"/>
      <c r="G81" s="29">
        <v>1</v>
      </c>
      <c r="H81" s="15" t="s">
        <v>2</v>
      </c>
      <c r="I81" s="30">
        <v>2</v>
      </c>
      <c r="J81" s="27"/>
      <c r="K81" s="28" t="str">
        <f>IF(OR(I72="",G72="",AND(I72=G72,OR(J72="",F72=""))),"Vencedor do 50",IF(I72=G72,IF(J72&gt;F72,K72,E72),IF(I72&gt;G72,K72,E72)))</f>
        <v>Argentina</v>
      </c>
      <c r="L81" s="312" t="s">
        <v>122</v>
      </c>
      <c r="M81" s="60">
        <v>57</v>
      </c>
      <c r="N81" s="291"/>
      <c r="O81" s="402" t="str">
        <f>IF(OR($G$94="",$I$94="",AND($G$94=$I$94,OR($F$94="",$J$94=""))),"",IF($G$94=$I$94,IF($F$94&gt;$J$94,$E$94,$K$94),IF($G$94&gt;$I$94,$E$94,$K$94)))</f>
        <v>Brasil</v>
      </c>
      <c r="P81" s="402"/>
      <c r="Q81" s="402"/>
      <c r="R81" s="402"/>
      <c r="S81" s="402"/>
      <c r="T81" s="402"/>
      <c r="U81" s="402"/>
      <c r="V81" s="256"/>
    </row>
    <row r="82" spans="1:22" ht="20" customHeight="1">
      <c r="A82" s="256"/>
      <c r="C82" s="25">
        <v>44904</v>
      </c>
      <c r="D82" s="171">
        <v>0.5</v>
      </c>
      <c r="E82" s="26" t="str">
        <f>IF(OR(G75="",I75="",AND(G75=I75,OR(F75="",J75=""))),"Vencedor do 53",IF(G75=I75,IF(F75&gt;J75,E75,K75),IF(G75&gt;I75,E75,K75)))</f>
        <v>Alemanha</v>
      </c>
      <c r="F82" s="27"/>
      <c r="G82" s="29">
        <v>0</v>
      </c>
      <c r="H82" s="15" t="s">
        <v>2</v>
      </c>
      <c r="I82" s="30">
        <v>2</v>
      </c>
      <c r="J82" s="27"/>
      <c r="K82" s="28" t="str">
        <f>IF(OR(I76="",G76="",AND(I76=G76,OR(J76="",F76=""))),"Vencedor do 54",IF(I76=G76,IF(J76&gt;F76,K76,E76),IF(I76&gt;G76,K76,E76)))</f>
        <v>Brasil</v>
      </c>
      <c r="L82" s="312" t="s">
        <v>115</v>
      </c>
      <c r="M82" s="121">
        <v>58</v>
      </c>
      <c r="N82" s="291"/>
      <c r="O82" s="402"/>
      <c r="P82" s="402"/>
      <c r="Q82" s="402"/>
      <c r="R82" s="402"/>
      <c r="S82" s="402"/>
      <c r="T82" s="402"/>
      <c r="U82" s="402"/>
      <c r="V82" s="256"/>
    </row>
    <row r="83" spans="1:22" ht="20" customHeight="1">
      <c r="A83" s="256"/>
      <c r="C83" s="25">
        <v>44905</v>
      </c>
      <c r="D83" s="171">
        <v>0.66666666666666663</v>
      </c>
      <c r="E83" s="26" t="str">
        <f>IF(OR(G73="",I73="",AND(G73=I73,OR(F73="",J73=""))),"Vencedor do 51",IF(G73=I73,IF(F73&gt;J73,E73,K73),IF(G73&gt;I73,E73,K73)))</f>
        <v>Inglaterra</v>
      </c>
      <c r="F83" s="27"/>
      <c r="G83" s="29">
        <v>3</v>
      </c>
      <c r="H83" s="15" t="s">
        <v>2</v>
      </c>
      <c r="I83" s="30">
        <v>1</v>
      </c>
      <c r="J83" s="27"/>
      <c r="K83" s="28" t="str">
        <f>IF(OR(I74="",G74="",AND(I74=G74,OR(J74="",F74=""))),"Vencedor do 52",IF(I74=G74,IF(J74&gt;F74,K74,E74),IF(I74&gt;G74,K74,E74)))</f>
        <v>Polônia</v>
      </c>
      <c r="L83" s="312" t="s">
        <v>112</v>
      </c>
      <c r="M83" s="122">
        <v>60</v>
      </c>
      <c r="N83" s="292"/>
      <c r="O83" s="373" t="str">
        <f>IF(O81="","  ","A Seleção campeã da Copa do Mundo de 2022")</f>
        <v>A Seleção campeã da Copa do Mundo de 2022</v>
      </c>
      <c r="P83" s="373"/>
      <c r="Q83" s="373"/>
      <c r="R83" s="373"/>
      <c r="S83" s="373"/>
      <c r="T83" s="373"/>
      <c r="U83" s="352"/>
      <c r="V83" s="256"/>
    </row>
    <row r="84" spans="1:22" ht="20" customHeight="1">
      <c r="A84" s="256"/>
      <c r="C84" s="25">
        <v>44905</v>
      </c>
      <c r="D84" s="171">
        <v>0.5</v>
      </c>
      <c r="E84" s="26" t="str">
        <f>IF(OR(G77="",I77="",AND(G77=I77,OR(F77="",J77=""))),"Vencedor do 55",IF(G77=I77,IF(F77&gt;J77,E77,K77),IF(G77&gt;I77,E77,K77)))</f>
        <v>Espanha</v>
      </c>
      <c r="F84" s="27"/>
      <c r="G84" s="29">
        <v>2</v>
      </c>
      <c r="H84" s="15" t="s">
        <v>2</v>
      </c>
      <c r="I84" s="30">
        <v>3</v>
      </c>
      <c r="J84" s="27"/>
      <c r="K84" s="28" t="str">
        <f>IF(OR(I78="",G78="",AND(I78=G78,OR(J78="",F78=""))),"Vencedor do 56",IF(I78=G78,IF(J78&gt;F78,K78,E78),IF(I78&gt;G78,K78,E78)))</f>
        <v>Portugal</v>
      </c>
      <c r="L84" s="312" t="s">
        <v>111</v>
      </c>
      <c r="M84" s="123">
        <v>59</v>
      </c>
      <c r="N84" s="256"/>
      <c r="O84" s="373"/>
      <c r="P84" s="373"/>
      <c r="Q84" s="373"/>
      <c r="R84" s="373"/>
      <c r="S84" s="373"/>
      <c r="T84" s="373"/>
      <c r="U84" s="352"/>
      <c r="V84" s="256"/>
    </row>
    <row r="85" spans="1:22" ht="16" customHeight="1">
      <c r="A85" s="256"/>
      <c r="C85" s="31"/>
      <c r="D85" s="32"/>
      <c r="E85" s="8"/>
      <c r="F85" s="33"/>
      <c r="G85" s="23"/>
      <c r="H85" s="23"/>
      <c r="I85" s="23"/>
      <c r="J85" s="23"/>
      <c r="K85" s="8"/>
      <c r="L85" s="35"/>
      <c r="M85" s="36"/>
      <c r="N85" s="256"/>
      <c r="O85" s="373"/>
      <c r="P85" s="373"/>
      <c r="Q85" s="373"/>
      <c r="R85" s="373"/>
      <c r="S85" s="373"/>
      <c r="T85" s="373"/>
      <c r="U85" s="352"/>
      <c r="V85" s="256"/>
    </row>
    <row r="86" spans="1:22" ht="16" customHeight="1" thickBot="1">
      <c r="A86" s="256"/>
      <c r="C86" s="197" t="s">
        <v>28</v>
      </c>
      <c r="D86" s="198"/>
      <c r="E86" s="198"/>
      <c r="F86" s="199"/>
      <c r="G86" s="387"/>
      <c r="H86" s="387"/>
      <c r="I86" s="387"/>
      <c r="J86" s="199"/>
      <c r="K86" s="198"/>
      <c r="L86" s="200"/>
      <c r="M86" s="198"/>
      <c r="N86" s="256"/>
      <c r="O86" s="373"/>
      <c r="P86" s="373"/>
      <c r="Q86" s="373"/>
      <c r="R86" s="373"/>
      <c r="S86" s="373"/>
      <c r="T86" s="373"/>
      <c r="U86" s="352"/>
      <c r="V86" s="256"/>
    </row>
    <row r="87" spans="1:22" ht="20" customHeight="1" thickTop="1">
      <c r="A87" s="256"/>
      <c r="C87" s="25">
        <v>44908</v>
      </c>
      <c r="D87" s="171">
        <v>0.66666666666666663</v>
      </c>
      <c r="E87" s="26" t="str">
        <f>IF(OR(G81="",I81="",AND(G81=I81,OR(F81="",J81=""))),"Vencedor do 57",IF(G81=I81,IF(F81&gt;J81,E81,K81),IF(G81&gt;I81,E81,K81)))</f>
        <v>Argentina</v>
      </c>
      <c r="F87" s="27"/>
      <c r="G87" s="29">
        <v>1</v>
      </c>
      <c r="H87" s="15" t="s">
        <v>2</v>
      </c>
      <c r="I87" s="30">
        <v>2</v>
      </c>
      <c r="J87" s="27"/>
      <c r="K87" s="28" t="str">
        <f>IF(OR(I82="",G82="",AND(I82=G82,OR(J82="",F82=""))),"Vencedor do 58",IF(I82=G82,IF(J82&gt;F82,K82,E82),IF(I82&gt;G82,K82,E82)))</f>
        <v>Brasil</v>
      </c>
      <c r="L87" s="116" t="s">
        <v>120</v>
      </c>
      <c r="M87" s="124">
        <v>61</v>
      </c>
      <c r="N87" s="256"/>
      <c r="O87" s="402" t="str">
        <f>IF(OR($G$94="",$I$94="",AND($G$94=$I$94,OR($F$94="",$J$94=""))),"",IF($G$94=$I$94,IF($F$94&gt;$J$94,$K$94,$E$94),IF($G$94&gt;$I$94,$K$94,$E$94)))</f>
        <v>Inglaterra</v>
      </c>
      <c r="P87" s="402"/>
      <c r="Q87" s="402"/>
      <c r="R87" s="402"/>
      <c r="S87" s="402"/>
      <c r="T87" s="402"/>
      <c r="U87" s="402"/>
      <c r="V87" s="256"/>
    </row>
    <row r="88" spans="1:22" ht="20" customHeight="1">
      <c r="A88" s="256"/>
      <c r="C88" s="25">
        <v>44909</v>
      </c>
      <c r="D88" s="171">
        <v>0.66666666666666663</v>
      </c>
      <c r="E88" s="26" t="str">
        <f>IF(OR(G83="",I83="",AND(G83=I83,OR(F83="",J83=""))),"Vencedor do 60",IF(G83=I83,IF(F83&gt;J83,E83,K83),IF(G83&gt;I83,E83,K83)))</f>
        <v>Inglaterra</v>
      </c>
      <c r="F88" s="27"/>
      <c r="G88" s="29">
        <v>3</v>
      </c>
      <c r="H88" s="15" t="s">
        <v>2</v>
      </c>
      <c r="I88" s="30">
        <v>1</v>
      </c>
      <c r="J88" s="27"/>
      <c r="K88" s="28" t="str">
        <f>IF(OR(I84="",G84="",AND(I84=G84,OR(J84="",F84=""))),"Vencedor do 59",IF(I84=G84,IF(J84&gt;F84,K84,E84),IF(I84&gt;G84,K84,E84)))</f>
        <v>Portugal</v>
      </c>
      <c r="L88" s="116" t="s">
        <v>112</v>
      </c>
      <c r="M88" s="124">
        <v>62</v>
      </c>
      <c r="N88" s="256"/>
      <c r="O88" s="402" t="str">
        <f>IF(OR($G$94="",$I$94="",AND($G$94=$I$94,OR($F$94="",$J$94=""))),"",IF($G$94=$I$94,IF($F$94&gt;$J$94,$K$94,$E$94),IF($G$94&gt;$I$94,$K$94,$E$94)))</f>
        <v>Inglaterra</v>
      </c>
      <c r="P88" s="402"/>
      <c r="Q88" s="402"/>
      <c r="R88" s="402"/>
      <c r="S88" s="402"/>
      <c r="T88" s="402"/>
      <c r="U88" s="402"/>
      <c r="V88" s="256"/>
    </row>
    <row r="89" spans="1:22" ht="16" customHeight="1">
      <c r="A89" s="256"/>
      <c r="C89" s="31"/>
      <c r="D89" s="32"/>
      <c r="E89" s="9"/>
      <c r="F89" s="34"/>
      <c r="G89" s="23"/>
      <c r="H89" s="23"/>
      <c r="I89" s="23"/>
      <c r="J89" s="23"/>
      <c r="K89" s="9"/>
      <c r="L89" s="35"/>
      <c r="M89" s="36"/>
      <c r="N89" s="256"/>
      <c r="O89" s="373" t="str">
        <f>IF(O87="","  ","Vice-campeã da Copa do Mundo de 2022")</f>
        <v>Vice-campeã da Copa do Mundo de 2022</v>
      </c>
      <c r="P89" s="373"/>
      <c r="Q89" s="373"/>
      <c r="R89" s="373"/>
      <c r="S89" s="373"/>
      <c r="T89" s="373"/>
      <c r="U89" s="373"/>
      <c r="V89" s="256"/>
    </row>
    <row r="90" spans="1:22" ht="16" customHeight="1">
      <c r="A90" s="256"/>
      <c r="C90" s="208" t="s">
        <v>29</v>
      </c>
      <c r="D90" s="209"/>
      <c r="E90" s="209"/>
      <c r="F90" s="210"/>
      <c r="G90" s="210"/>
      <c r="H90" s="210"/>
      <c r="I90" s="210"/>
      <c r="J90" s="210"/>
      <c r="K90" s="209"/>
      <c r="L90" s="211"/>
      <c r="M90" s="212"/>
      <c r="N90" s="256"/>
      <c r="O90" s="373"/>
      <c r="P90" s="373"/>
      <c r="Q90" s="373"/>
      <c r="R90" s="373"/>
      <c r="S90" s="373"/>
      <c r="T90" s="373"/>
      <c r="U90" s="373"/>
      <c r="V90" s="256"/>
    </row>
    <row r="91" spans="1:22" ht="20" customHeight="1">
      <c r="A91" s="256"/>
      <c r="C91" s="25">
        <v>44912</v>
      </c>
      <c r="D91" s="171">
        <v>0.5</v>
      </c>
      <c r="E91" s="44" t="str">
        <f>IF(OR(G87="",I87="",AND(G87=I87,OR(F87="",J87="")))," ",IF(G87=I87,IF(F87&lt;J87,E87,K87),IF(G87&lt;I87,E87,K87)))</f>
        <v>Argentina</v>
      </c>
      <c r="F91" s="27"/>
      <c r="G91" s="112">
        <v>2</v>
      </c>
      <c r="H91" s="92" t="s">
        <v>2</v>
      </c>
      <c r="I91" s="113">
        <v>1</v>
      </c>
      <c r="J91" s="27"/>
      <c r="K91" s="8" t="str">
        <f>IF(OR(I88="",G88="",AND(I88=G88,OR(J88="",F88=""))),"    ",IF(I88=G88,IF(J88&lt;F88,K88,E88),IF(I88&lt;G88,K88,E88)))</f>
        <v>Portugal</v>
      </c>
      <c r="L91" s="116" t="s">
        <v>121</v>
      </c>
      <c r="M91" s="228">
        <v>63</v>
      </c>
      <c r="N91" s="256"/>
      <c r="O91" s="373"/>
      <c r="P91" s="373"/>
      <c r="Q91" s="373"/>
      <c r="R91" s="373"/>
      <c r="S91" s="373"/>
      <c r="T91" s="373"/>
      <c r="U91" s="373"/>
      <c r="V91" s="256"/>
    </row>
    <row r="92" spans="1:22" ht="16" customHeight="1">
      <c r="A92" s="256"/>
      <c r="E92" s="2"/>
      <c r="F92" s="22"/>
      <c r="G92" s="22"/>
      <c r="H92" s="22"/>
      <c r="I92" s="22"/>
      <c r="J92" s="22"/>
      <c r="K92" s="2"/>
      <c r="L92" s="1"/>
      <c r="M92" s="36"/>
      <c r="N92" s="256"/>
      <c r="O92" s="256"/>
      <c r="P92" s="256"/>
      <c r="Q92" s="256"/>
      <c r="R92" s="256"/>
      <c r="S92" s="256"/>
      <c r="T92" s="256"/>
      <c r="U92" s="256"/>
      <c r="V92" s="256"/>
    </row>
    <row r="93" spans="1:22" ht="16" customHeight="1">
      <c r="A93" s="256"/>
      <c r="C93" s="201" t="s">
        <v>125</v>
      </c>
      <c r="D93" s="202"/>
      <c r="E93" s="202"/>
      <c r="F93" s="203"/>
      <c r="G93" s="203"/>
      <c r="H93" s="204"/>
      <c r="I93" s="204"/>
      <c r="J93" s="204"/>
      <c r="K93" s="205"/>
      <c r="L93" s="206"/>
      <c r="M93" s="207"/>
      <c r="N93" s="256"/>
      <c r="O93" s="256" t="str">
        <f>IF(OR($G$91="",$I$91="",AND($G$91=$I$91,OR($F$91="",$J$91=""))),"",IF($G$91=$I$91,IF($F$91&gt;$J$91,$E$91,$K$91),IF($G$91&gt;$I$91,$E$91,$K$91)))</f>
        <v>Argentina</v>
      </c>
      <c r="P93" s="256"/>
      <c r="Q93" s="256"/>
      <c r="R93" s="256"/>
      <c r="S93" s="256"/>
      <c r="T93" s="256"/>
      <c r="U93" s="256"/>
      <c r="V93" s="256"/>
    </row>
    <row r="94" spans="1:22" ht="20" customHeight="1">
      <c r="A94" s="256"/>
      <c r="C94" s="50">
        <v>44913</v>
      </c>
      <c r="D94" s="172">
        <v>0.5</v>
      </c>
      <c r="E94" s="114" t="str">
        <f>IF(OR(G87="",I87="",AND(G87=I87,OR(F87="",J87=""))),"  ",IF(G87=I87,IF(F87&gt;J87,E87,K87),IF(G87&gt;I87,E87,K87)))</f>
        <v>Brasil</v>
      </c>
      <c r="F94" s="27"/>
      <c r="G94" s="112">
        <v>3</v>
      </c>
      <c r="H94" s="92" t="s">
        <v>2</v>
      </c>
      <c r="I94" s="113">
        <v>2</v>
      </c>
      <c r="J94" s="27"/>
      <c r="K94" s="114" t="str">
        <f>IF(OR(I88="",G88="",AND(I88=G88,OR(J88="",F88=""))),"  ",IF(I88=G88,IF(J88&gt;F88,K88,E88),IF(I88&gt;G88,K88,E88)))</f>
        <v>Inglaterra</v>
      </c>
      <c r="L94" s="116" t="s">
        <v>120</v>
      </c>
      <c r="M94" s="227">
        <v>64</v>
      </c>
      <c r="N94" s="256"/>
      <c r="O94" s="256" t="str">
        <f>IF(OR($G$91="",$I$91="",AND($G$91=$I$91,OR($F$91="",$J$91=""))),"",IF($G$91=$I$91,IF($F$91&gt;$J$91,$K$91,$E$91),IF($G$91&gt;$I$91,$K$91,$E$91)))</f>
        <v>Portugal</v>
      </c>
      <c r="P94" s="256"/>
      <c r="Q94" s="256"/>
      <c r="R94" s="256"/>
      <c r="S94" s="256"/>
      <c r="T94" s="256"/>
      <c r="U94" s="256"/>
      <c r="V94" s="256"/>
    </row>
    <row r="95" spans="1:22" ht="16" hidden="1" customHeight="1">
      <c r="A95" s="256"/>
      <c r="C95" s="314"/>
      <c r="D95" s="314"/>
      <c r="E95" s="314"/>
      <c r="F95" s="314"/>
      <c r="G95" s="314"/>
      <c r="H95" s="314"/>
      <c r="I95" s="314"/>
      <c r="J95" s="314"/>
      <c r="K95" s="314"/>
      <c r="L95" s="315"/>
      <c r="M95" s="314"/>
      <c r="N95" s="314"/>
      <c r="O95" s="314"/>
      <c r="P95" s="314"/>
      <c r="Q95" s="400" t="s">
        <v>49</v>
      </c>
      <c r="R95" s="400"/>
      <c r="S95" s="400"/>
      <c r="T95" s="314"/>
      <c r="U95" s="314"/>
      <c r="V95" s="314"/>
    </row>
    <row r="96" spans="1:22" ht="14" hidden="1" thickBot="1">
      <c r="A96" s="258"/>
      <c r="B96" s="261"/>
      <c r="C96" s="316"/>
      <c r="D96" s="316"/>
      <c r="E96" s="316"/>
      <c r="F96" s="316"/>
      <c r="G96" s="316"/>
      <c r="H96" s="316"/>
      <c r="I96" s="316"/>
      <c r="J96" s="316"/>
      <c r="K96" s="316"/>
      <c r="L96" s="316"/>
      <c r="M96" s="316"/>
      <c r="N96" s="316"/>
      <c r="O96" s="316"/>
      <c r="P96" s="316"/>
      <c r="Q96" s="405" t="s">
        <v>50</v>
      </c>
      <c r="R96" s="405"/>
      <c r="S96" s="405"/>
      <c r="T96" s="316"/>
      <c r="U96" s="316"/>
      <c r="V96" s="316"/>
    </row>
    <row r="97" spans="1:22" ht="14" hidden="1" thickTop="1">
      <c r="A97" s="259"/>
      <c r="B97" s="262"/>
      <c r="C97" s="317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</row>
    <row r="98" spans="1:22" hidden="1">
      <c r="A98" s="256"/>
      <c r="C98" s="314"/>
      <c r="D98" s="314"/>
      <c r="E98" s="314"/>
      <c r="F98" s="314"/>
      <c r="G98" s="314"/>
      <c r="H98" s="314"/>
      <c r="I98" s="314"/>
      <c r="J98" s="314"/>
      <c r="K98" s="319" t="s">
        <v>48</v>
      </c>
      <c r="L98" s="314"/>
      <c r="M98" s="314"/>
      <c r="N98" s="314"/>
      <c r="O98" s="314"/>
      <c r="P98" s="400" t="s">
        <v>53</v>
      </c>
      <c r="Q98" s="400"/>
      <c r="R98" s="400"/>
      <c r="S98" s="400"/>
      <c r="T98" s="400"/>
      <c r="U98" s="314"/>
      <c r="V98" s="314"/>
    </row>
    <row r="99" spans="1:22" ht="19.5" hidden="1" customHeight="1">
      <c r="A99" s="256"/>
      <c r="C99" s="314"/>
      <c r="D99" s="314"/>
      <c r="E99" s="314"/>
      <c r="F99" s="314"/>
      <c r="G99" s="314"/>
      <c r="H99" s="314"/>
      <c r="I99" s="314"/>
      <c r="J99" s="314"/>
      <c r="K99" s="400" t="s">
        <v>0</v>
      </c>
      <c r="L99" s="400"/>
      <c r="M99" s="320"/>
      <c r="N99" s="320"/>
      <c r="O99" s="314"/>
      <c r="P99" s="314"/>
      <c r="Q99" s="314"/>
      <c r="R99" s="314"/>
      <c r="S99" s="314"/>
      <c r="T99" s="314"/>
      <c r="U99" s="314"/>
      <c r="V99" s="314"/>
    </row>
    <row r="100" spans="1:22" ht="21" hidden="1" customHeight="1">
      <c r="A100" s="256"/>
      <c r="C100" s="314"/>
      <c r="D100" s="314"/>
      <c r="E100" s="314"/>
      <c r="F100" s="314"/>
      <c r="G100" s="314"/>
      <c r="H100" s="314"/>
      <c r="I100" s="314"/>
      <c r="J100" s="314"/>
      <c r="K100" s="314"/>
      <c r="L100" s="314"/>
      <c r="M100" s="314"/>
      <c r="N100" s="314"/>
      <c r="O100" s="314"/>
      <c r="P100" s="400" t="s">
        <v>68</v>
      </c>
      <c r="Q100" s="400"/>
      <c r="R100" s="400"/>
      <c r="S100" s="400"/>
      <c r="T100" s="400"/>
      <c r="U100" s="314"/>
      <c r="V100" s="314"/>
    </row>
    <row r="101" spans="1:22" ht="20.25" hidden="1" customHeight="1">
      <c r="A101" s="256"/>
      <c r="C101" s="374" t="s">
        <v>123</v>
      </c>
      <c r="D101" s="374"/>
      <c r="E101" s="374"/>
      <c r="F101" s="374"/>
      <c r="G101" s="374"/>
      <c r="H101" s="374"/>
      <c r="I101" s="374"/>
      <c r="J101" s="374"/>
      <c r="K101" s="374"/>
      <c r="L101" s="374"/>
      <c r="M101" s="374"/>
      <c r="N101" s="374"/>
      <c r="O101" s="374"/>
      <c r="P101" s="374"/>
      <c r="Q101" s="374"/>
      <c r="R101" s="374"/>
      <c r="S101" s="374"/>
      <c r="T101" s="374"/>
      <c r="U101" s="374"/>
      <c r="V101" s="374"/>
    </row>
    <row r="102" spans="1:22">
      <c r="C102" s="374" t="s">
        <v>124</v>
      </c>
      <c r="D102" s="374"/>
      <c r="E102" s="374"/>
      <c r="F102" s="374"/>
      <c r="G102" s="374"/>
      <c r="H102" s="374"/>
      <c r="I102" s="374"/>
      <c r="J102" s="374"/>
      <c r="K102" s="374"/>
      <c r="L102" s="374"/>
      <c r="M102" s="374"/>
      <c r="N102" s="374"/>
      <c r="O102" s="374"/>
      <c r="P102" s="374"/>
      <c r="Q102" s="374"/>
      <c r="R102" s="374"/>
      <c r="S102" s="374"/>
      <c r="T102" s="374"/>
      <c r="U102" s="374"/>
      <c r="V102" s="374"/>
    </row>
  </sheetData>
  <sheetProtection algorithmName="SHA-512" hashValue="QuJUG9idXCWl9V2+o2M+R+1S8s3JGwYapqIVtEIqwDEC/CsfK8c5YP9iaEnD6AwF0jQmI+uMZkjcqUYLsWYFCA==" saltValue="hhTeZuL51P4zhfq2lAsvBw==" spinCount="100000" sheet="1" objects="1" scenarios="1"/>
  <mergeCells count="44">
    <mergeCell ref="C37:E37"/>
    <mergeCell ref="C45:E45"/>
    <mergeCell ref="C53:E53"/>
    <mergeCell ref="G37:I37"/>
    <mergeCell ref="N38:V38"/>
    <mergeCell ref="P100:T100"/>
    <mergeCell ref="G86:I86"/>
    <mergeCell ref="G45:I45"/>
    <mergeCell ref="G53:I53"/>
    <mergeCell ref="O81:U82"/>
    <mergeCell ref="K99:L99"/>
    <mergeCell ref="N62:V62"/>
    <mergeCell ref="G61:I61"/>
    <mergeCell ref="Q96:S96"/>
    <mergeCell ref="P98:T98"/>
    <mergeCell ref="Q95:S95"/>
    <mergeCell ref="O83:T86"/>
    <mergeCell ref="O87:U88"/>
    <mergeCell ref="N2:V2"/>
    <mergeCell ref="C5:E5"/>
    <mergeCell ref="G5:I5"/>
    <mergeCell ref="N3:V3"/>
    <mergeCell ref="C3:J3"/>
    <mergeCell ref="C21:E21"/>
    <mergeCell ref="G21:I21"/>
    <mergeCell ref="C29:E29"/>
    <mergeCell ref="G29:I29"/>
    <mergeCell ref="C2:J2"/>
    <mergeCell ref="O89:U91"/>
    <mergeCell ref="C101:V101"/>
    <mergeCell ref="C102:V102"/>
    <mergeCell ref="N6:V6"/>
    <mergeCell ref="N22:V22"/>
    <mergeCell ref="N77:V77"/>
    <mergeCell ref="O78:V78"/>
    <mergeCell ref="N30:V30"/>
    <mergeCell ref="N54:V54"/>
    <mergeCell ref="N14:V14"/>
    <mergeCell ref="C13:E13"/>
    <mergeCell ref="G13:I13"/>
    <mergeCell ref="G70:I70"/>
    <mergeCell ref="N46:V46"/>
    <mergeCell ref="G80:I80"/>
    <mergeCell ref="C61:E61"/>
  </mergeCells>
  <conditionalFormatting sqref="J71:J78 J81:J84 J87:J88 J91 J94">
    <cfRule type="expression" dxfId="45" priority="46" stopIfTrue="1">
      <formula>IF(AND(#REF!=#REF!,#REF!&lt;&gt;"",#REF!&lt;&gt;""),1,0)</formula>
    </cfRule>
  </conditionalFormatting>
  <conditionalFormatting sqref="O8:V11 O16:V19 O24:V27 O32:V35 O40:V43 O48:V51 O56:V59 O64:V67">
    <cfRule type="cellIs" dxfId="44" priority="48" stopIfTrue="1" operator="greaterThan">
      <formula>0</formula>
    </cfRule>
    <cfRule type="cellIs" dxfId="43" priority="49" stopIfTrue="1" operator="lessThan">
      <formula>0</formula>
    </cfRule>
  </conditionalFormatting>
  <conditionalFormatting sqref="F71">
    <cfRule type="expression" dxfId="42" priority="39" stopIfTrue="1">
      <formula>IF(AND(G71=I71,G71&lt;&gt;"",I71&lt;&gt;""),1,0)</formula>
    </cfRule>
  </conditionalFormatting>
  <conditionalFormatting sqref="F71">
    <cfRule type="expression" dxfId="41" priority="38" stopIfTrue="1">
      <formula>IF(AND(G71=I71,G71&lt;&gt;"",I71&lt;&gt;""),1,0)</formula>
    </cfRule>
  </conditionalFormatting>
  <conditionalFormatting sqref="F71:F78">
    <cfRule type="expression" dxfId="40" priority="37" stopIfTrue="1">
      <formula>IF(AND(G71=I71,G71&lt;&gt;"",I71&lt;&gt;""),1,0)</formula>
    </cfRule>
  </conditionalFormatting>
  <conditionalFormatting sqref="J71:J78">
    <cfRule type="expression" dxfId="39" priority="36" stopIfTrue="1">
      <formula>IF(AND(G71=I71,G71&lt;&gt;"",I71&lt;&gt;""),1,0)</formula>
    </cfRule>
  </conditionalFormatting>
  <conditionalFormatting sqref="F81:F84">
    <cfRule type="expression" dxfId="38" priority="35" stopIfTrue="1">
      <formula>IF(AND(G81=I81,G81&lt;&gt;"",I81&lt;&gt;""),1,0)</formula>
    </cfRule>
  </conditionalFormatting>
  <conditionalFormatting sqref="J81:J84">
    <cfRule type="expression" dxfId="37" priority="34" stopIfTrue="1">
      <formula>IF(AND(G81=I81,G81&lt;&gt;"",I81&lt;&gt;""),1,0)</formula>
    </cfRule>
  </conditionalFormatting>
  <conditionalFormatting sqref="F87:F88">
    <cfRule type="expression" dxfId="36" priority="33" stopIfTrue="1">
      <formula>IF(AND(G87=I87,G87&lt;&gt;"",I87&lt;&gt;""),1,0)</formula>
    </cfRule>
  </conditionalFormatting>
  <conditionalFormatting sqref="J87:J88">
    <cfRule type="expression" dxfId="35" priority="32" stopIfTrue="1">
      <formula>IF(AND(G87=I87,G87&lt;&gt;"",I87&lt;&gt;""),1,0)</formula>
    </cfRule>
  </conditionalFormatting>
  <conditionalFormatting sqref="F91">
    <cfRule type="expression" dxfId="34" priority="31" stopIfTrue="1">
      <formula>IF(AND(G91=I91,G91&lt;&gt;"",I91&lt;&gt;""),1,0)</formula>
    </cfRule>
  </conditionalFormatting>
  <conditionalFormatting sqref="J91">
    <cfRule type="expression" dxfId="33" priority="30" stopIfTrue="1">
      <formula>IF(AND(G91=I91,G91&lt;&gt;"",I91&lt;&gt;""),1,0)</formula>
    </cfRule>
  </conditionalFormatting>
  <conditionalFormatting sqref="F94">
    <cfRule type="expression" dxfId="32" priority="29" stopIfTrue="1">
      <formula>IF(AND(G94=I94,G94&lt;&gt;"",I94&lt;&gt;""),1,0)</formula>
    </cfRule>
  </conditionalFormatting>
  <conditionalFormatting sqref="J94">
    <cfRule type="expression" dxfId="31" priority="28" stopIfTrue="1">
      <formula>IF(AND(G94=I94,G94&lt;&gt;"",I94&lt;&gt;""),1,0)</formula>
    </cfRule>
  </conditionalFormatting>
  <conditionalFormatting sqref="M8:M11 M16:M19 M24:M27 M32:M35 M40:M43 M48:M51 M56:M59 M64:M67">
    <cfRule type="iconSet" priority="17">
      <iconSet iconSet="4TrafficLights" reverse="1">
        <cfvo type="percent" val="0"/>
        <cfvo type="percent" val="25"/>
        <cfvo type="percent" val="50"/>
        <cfvo type="percent" val="75"/>
      </iconSet>
    </cfRule>
  </conditionalFormatting>
  <conditionalFormatting sqref="N8">
    <cfRule type="expression" dxfId="30" priority="16">
      <formula>$P$8=3</formula>
    </cfRule>
  </conditionalFormatting>
  <conditionalFormatting sqref="N9">
    <cfRule type="expression" dxfId="29" priority="15">
      <formula>$P$9=3</formula>
    </cfRule>
  </conditionalFormatting>
  <conditionalFormatting sqref="N16">
    <cfRule type="expression" dxfId="28" priority="14">
      <formula>$P$16=3</formula>
    </cfRule>
  </conditionalFormatting>
  <conditionalFormatting sqref="N17">
    <cfRule type="expression" dxfId="27" priority="13">
      <formula>$P$17=3</formula>
    </cfRule>
  </conditionalFormatting>
  <conditionalFormatting sqref="N24">
    <cfRule type="expression" dxfId="26" priority="12">
      <formula>$P$24=3</formula>
    </cfRule>
  </conditionalFormatting>
  <conditionalFormatting sqref="N25">
    <cfRule type="expression" dxfId="25" priority="11">
      <formula>$P$25=3</formula>
    </cfRule>
  </conditionalFormatting>
  <conditionalFormatting sqref="N32">
    <cfRule type="expression" dxfId="24" priority="10">
      <formula>$P$32=3</formula>
    </cfRule>
  </conditionalFormatting>
  <conditionalFormatting sqref="N33">
    <cfRule type="expression" dxfId="23" priority="9">
      <formula>$P$33=3</formula>
    </cfRule>
  </conditionalFormatting>
  <conditionalFormatting sqref="N40">
    <cfRule type="expression" dxfId="22" priority="8">
      <formula>$P$40=3</formula>
    </cfRule>
  </conditionalFormatting>
  <conditionalFormatting sqref="N41">
    <cfRule type="expression" dxfId="21" priority="7">
      <formula>$P$41=3</formula>
    </cfRule>
  </conditionalFormatting>
  <conditionalFormatting sqref="N48">
    <cfRule type="expression" dxfId="20" priority="6">
      <formula>$P$48=3</formula>
    </cfRule>
  </conditionalFormatting>
  <conditionalFormatting sqref="N49">
    <cfRule type="expression" dxfId="19" priority="5">
      <formula>$P$49=3</formula>
    </cfRule>
  </conditionalFormatting>
  <conditionalFormatting sqref="N56">
    <cfRule type="expression" dxfId="18" priority="4">
      <formula>$P$56=3</formula>
    </cfRule>
  </conditionalFormatting>
  <conditionalFormatting sqref="N57">
    <cfRule type="expression" dxfId="17" priority="3">
      <formula>$P$57=3</formula>
    </cfRule>
  </conditionalFormatting>
  <conditionalFormatting sqref="N64">
    <cfRule type="expression" dxfId="16" priority="2">
      <formula>$P$64=3</formula>
    </cfRule>
  </conditionalFormatting>
  <conditionalFormatting sqref="N65">
    <cfRule type="expression" dxfId="15" priority="1">
      <formula>$P$65=3</formula>
    </cfRule>
  </conditionalFormatting>
  <conditionalFormatting sqref="F94 F81:F84 F87:F88 F91 F72:F78">
    <cfRule type="expression" dxfId="14" priority="50" stopIfTrue="1">
      <formula>IF(AND(#REF!=C1,#REF!&lt;&gt;"",C1&lt;&gt;""),1,0)</formula>
    </cfRule>
  </conditionalFormatting>
  <hyperlinks>
    <hyperlink ref="N2" r:id="rId1" xr:uid="{00000000-0004-0000-0000-000000000000}"/>
    <hyperlink ref="N2:V2" r:id="rId2" display="www.guiadecompra.com" xr:uid="{00000000-0004-0000-0000-000001000000}"/>
  </hyperlinks>
  <printOptions horizontalCentered="1"/>
  <pageMargins left="0.39374999999999999" right="0.39374999999999999" top="0.59027777777777779" bottom="0.78749999999999998" header="0.51180555555555551" footer="0.51180555555555551"/>
  <pageSetup paperSize="9" scale="87" firstPageNumber="0" orientation="portrait" horizontalDpi="300" verticalDpi="300" r:id="rId3"/>
  <headerFooter alignWithMargins="0"/>
  <ignoredErrors>
    <ignoredError sqref="E17 K18 K15 K8 E25 K26 K23 E32:E33 K34 E40:E41 K42 K48 E56:E57 K58 E64:E65 K6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6C7A0-3FCC-466F-9AAF-6BF4523917E9}">
  <dimension ref="A1:H992"/>
  <sheetViews>
    <sheetView workbookViewId="0">
      <selection activeCell="B17" sqref="B17"/>
    </sheetView>
  </sheetViews>
  <sheetFormatPr baseColWidth="10" defaultColWidth="12.5" defaultRowHeight="15" customHeight="1"/>
  <cols>
    <col min="1" max="1" width="44.33203125" style="321" customWidth="1"/>
    <col min="2" max="2" width="39.83203125" style="321" customWidth="1"/>
    <col min="3" max="6" width="15.83203125" style="321" customWidth="1"/>
    <col min="7" max="7" width="56.33203125" style="321" bestFit="1" customWidth="1"/>
    <col min="8" max="26" width="8.5" style="321" customWidth="1"/>
    <col min="27" max="16384" width="12.5" style="321"/>
  </cols>
  <sheetData>
    <row r="1" spans="1:8" ht="12.75" customHeight="1">
      <c r="A1" s="339"/>
      <c r="B1" s="339"/>
      <c r="C1" s="365" t="s">
        <v>183</v>
      </c>
      <c r="D1" s="339"/>
      <c r="E1" s="339"/>
      <c r="F1" s="339"/>
      <c r="G1" s="356" t="str">
        <f>IF(SUM(H2:H16)&gt;0,"MENSAGENS DE ATENÇÃO","")</f>
        <v/>
      </c>
      <c r="H1" s="339"/>
    </row>
    <row r="2" spans="1:8" ht="12.75" customHeight="1">
      <c r="A2" s="357" t="s">
        <v>184</v>
      </c>
      <c r="B2" s="353" t="s">
        <v>226</v>
      </c>
      <c r="C2" s="361">
        <v>7</v>
      </c>
      <c r="D2" s="339"/>
      <c r="E2" s="339"/>
      <c r="F2" s="339"/>
      <c r="G2" s="362" t="str">
        <f>IF(B2="","Favor informar: "&amp; A2,"")</f>
        <v/>
      </c>
      <c r="H2" s="366">
        <f>IF(B2="",1,0)</f>
        <v>0</v>
      </c>
    </row>
    <row r="3" spans="1:8" ht="12.75" customHeight="1">
      <c r="A3" s="357" t="s">
        <v>185</v>
      </c>
      <c r="B3" s="353" t="s">
        <v>227</v>
      </c>
      <c r="C3" s="361">
        <v>7</v>
      </c>
      <c r="D3" s="339"/>
      <c r="E3" s="339"/>
      <c r="F3" s="339"/>
      <c r="G3" s="362" t="str">
        <f t="shared" ref="G3:G16" si="0">IF(B3="","Favor informar: "&amp; A3,"")</f>
        <v/>
      </c>
      <c r="H3" s="366">
        <f t="shared" ref="H3:H7" si="1">IF(B3="",1,0)</f>
        <v>0</v>
      </c>
    </row>
    <row r="4" spans="1:8" ht="12.75" customHeight="1">
      <c r="A4" s="357" t="s">
        <v>186</v>
      </c>
      <c r="B4" s="353" t="s">
        <v>226</v>
      </c>
      <c r="C4" s="361">
        <v>7</v>
      </c>
      <c r="D4" s="339"/>
      <c r="E4" s="339"/>
      <c r="F4" s="339"/>
      <c r="G4" s="362" t="str">
        <f t="shared" si="0"/>
        <v/>
      </c>
      <c r="H4" s="366">
        <f t="shared" si="1"/>
        <v>0</v>
      </c>
    </row>
    <row r="5" spans="1:8" ht="6.75" customHeight="1">
      <c r="A5" s="339"/>
      <c r="B5" s="323"/>
      <c r="C5" s="361"/>
      <c r="D5" s="339"/>
      <c r="E5" s="339"/>
      <c r="F5" s="339"/>
      <c r="G5" s="339"/>
      <c r="H5" s="366"/>
    </row>
    <row r="6" spans="1:8" ht="12.75" customHeight="1">
      <c r="A6" s="357" t="s">
        <v>187</v>
      </c>
      <c r="B6" s="353" t="s">
        <v>226</v>
      </c>
      <c r="C6" s="361">
        <v>30</v>
      </c>
      <c r="D6" s="339"/>
      <c r="E6" s="339"/>
      <c r="F6" s="339"/>
      <c r="G6" s="362" t="str">
        <f t="shared" si="0"/>
        <v/>
      </c>
      <c r="H6" s="366">
        <f t="shared" si="1"/>
        <v>0</v>
      </c>
    </row>
    <row r="7" spans="1:8" ht="12.75" customHeight="1">
      <c r="A7" s="357" t="s">
        <v>188</v>
      </c>
      <c r="B7" s="353" t="s">
        <v>228</v>
      </c>
      <c r="C7" s="361">
        <v>25</v>
      </c>
      <c r="D7" s="339"/>
      <c r="E7" s="339"/>
      <c r="F7" s="339"/>
      <c r="G7" s="362" t="str">
        <f t="shared" si="0"/>
        <v/>
      </c>
      <c r="H7" s="366">
        <f t="shared" si="1"/>
        <v>0</v>
      </c>
    </row>
    <row r="8" spans="1:8" ht="6" customHeight="1">
      <c r="A8" s="339"/>
      <c r="B8" s="324"/>
      <c r="C8" s="363"/>
      <c r="D8" s="364"/>
      <c r="E8" s="364"/>
      <c r="F8" s="339"/>
      <c r="G8" s="339"/>
      <c r="H8" s="366"/>
    </row>
    <row r="9" spans="1:8" ht="12.75" customHeight="1">
      <c r="A9" s="357" t="s">
        <v>189</v>
      </c>
      <c r="B9" s="353" t="s">
        <v>78</v>
      </c>
      <c r="C9" s="363">
        <v>20</v>
      </c>
      <c r="D9" s="364"/>
      <c r="E9" s="364"/>
      <c r="F9" s="339"/>
      <c r="G9" s="362" t="str">
        <f>IF(B9="","Favor informar: "&amp;A9,IF(Tabela!O81="","Conclua os palpites na tabela",""))</f>
        <v/>
      </c>
      <c r="H9" s="366"/>
    </row>
    <row r="10" spans="1:8" ht="12.75" customHeight="1">
      <c r="A10" s="357" t="s">
        <v>190</v>
      </c>
      <c r="B10" s="353" t="s">
        <v>128</v>
      </c>
      <c r="C10" s="361">
        <v>20</v>
      </c>
      <c r="D10" s="339"/>
      <c r="E10" s="339"/>
      <c r="F10" s="339"/>
      <c r="G10" s="362" t="str">
        <f>IF(B10="","Favor informar: "&amp;A10,IF(Tabela!O81="","Conclua os palpites na tabela",""))</f>
        <v/>
      </c>
      <c r="H10" s="366"/>
    </row>
    <row r="11" spans="1:8" ht="12.75" customHeight="1">
      <c r="A11" s="357" t="s">
        <v>191</v>
      </c>
      <c r="B11" s="353" t="s">
        <v>87</v>
      </c>
      <c r="C11" s="361">
        <v>20</v>
      </c>
      <c r="D11" s="339"/>
      <c r="E11" s="339"/>
      <c r="F11" s="339"/>
      <c r="G11" s="362" t="str">
        <f>IF(B11="","Favor informar: "&amp; A11,IF(Tabela!O81="","Conclua os palpites na tabela",""))</f>
        <v/>
      </c>
      <c r="H11" s="366"/>
    </row>
    <row r="12" spans="1:8" ht="12.75" customHeight="1">
      <c r="A12" s="357" t="s">
        <v>192</v>
      </c>
      <c r="B12" s="353" t="s">
        <v>80</v>
      </c>
      <c r="C12" s="361">
        <v>20</v>
      </c>
      <c r="D12" s="339"/>
      <c r="E12" s="339"/>
      <c r="F12" s="339"/>
      <c r="G12" s="362" t="str">
        <f>IF(B12="","Favor informar: "&amp; A12,IF(Tabela!O81="","Conclua os palpites na tabela",""))</f>
        <v/>
      </c>
      <c r="H12" s="366"/>
    </row>
    <row r="13" spans="1:8" ht="6" customHeight="1">
      <c r="A13" s="339"/>
      <c r="B13" s="324"/>
      <c r="C13" s="364"/>
      <c r="D13" s="364"/>
      <c r="E13" s="364"/>
      <c r="F13" s="339"/>
      <c r="G13" s="339"/>
      <c r="H13" s="366"/>
    </row>
    <row r="14" spans="1:8" ht="12.75" customHeight="1">
      <c r="A14" s="357" t="s">
        <v>193</v>
      </c>
      <c r="B14" s="354" t="s">
        <v>229</v>
      </c>
      <c r="C14" s="339"/>
      <c r="D14" s="339"/>
      <c r="E14" s="339"/>
      <c r="F14" s="339"/>
      <c r="G14" s="362" t="str">
        <f t="shared" si="0"/>
        <v/>
      </c>
      <c r="H14" s="366">
        <f t="shared" ref="H14:H16" si="2">IF(B14="",1,0)</f>
        <v>0</v>
      </c>
    </row>
    <row r="15" spans="1:8" ht="12.75" customHeight="1">
      <c r="A15" s="357" t="s">
        <v>194</v>
      </c>
      <c r="B15" s="354" t="s">
        <v>230</v>
      </c>
      <c r="C15" s="357"/>
      <c r="D15" s="339"/>
      <c r="E15" s="339"/>
      <c r="F15" s="339"/>
      <c r="G15" s="362" t="str">
        <f t="shared" si="0"/>
        <v/>
      </c>
      <c r="H15" s="366">
        <f t="shared" si="2"/>
        <v>0</v>
      </c>
    </row>
    <row r="16" spans="1:8" ht="12.75" customHeight="1">
      <c r="A16" s="357" t="s">
        <v>195</v>
      </c>
      <c r="B16" s="355" t="s">
        <v>231</v>
      </c>
      <c r="C16" s="339"/>
      <c r="D16" s="357"/>
      <c r="E16" s="339"/>
      <c r="F16" s="339"/>
      <c r="G16" s="362" t="str">
        <f t="shared" si="0"/>
        <v/>
      </c>
      <c r="H16" s="366">
        <f t="shared" si="2"/>
        <v>0</v>
      </c>
    </row>
    <row r="17" spans="1:8" ht="5.25" customHeight="1">
      <c r="A17" s="339"/>
      <c r="B17" s="357"/>
      <c r="C17" s="339"/>
      <c r="D17" s="339"/>
      <c r="E17" s="339"/>
      <c r="F17" s="339"/>
      <c r="G17" s="339"/>
      <c r="H17" s="339"/>
    </row>
    <row r="18" spans="1:8" ht="12.75" customHeight="1">
      <c r="A18" s="339"/>
      <c r="B18" s="340"/>
      <c r="C18" s="339"/>
      <c r="D18" s="339"/>
      <c r="E18" s="339"/>
      <c r="F18" s="339"/>
      <c r="G18" s="339"/>
      <c r="H18" s="339"/>
    </row>
    <row r="19" spans="1:8" ht="17" thickBot="1">
      <c r="A19" s="358" t="s">
        <v>215</v>
      </c>
      <c r="B19" s="359"/>
      <c r="C19" s="360" t="s">
        <v>209</v>
      </c>
      <c r="D19" s="360" t="s">
        <v>210</v>
      </c>
      <c r="E19" s="360" t="s">
        <v>211</v>
      </c>
      <c r="F19" s="360" t="s">
        <v>212</v>
      </c>
      <c r="G19" s="339"/>
      <c r="H19" s="339"/>
    </row>
    <row r="20" spans="1:8" ht="15" customHeight="1" thickBot="1">
      <c r="A20" s="413" t="s">
        <v>30</v>
      </c>
      <c r="B20" s="414"/>
      <c r="C20" s="326" t="str">
        <f>Tabela!N8</f>
        <v>Holanda</v>
      </c>
      <c r="D20" s="327" t="str">
        <f>Tabela!N9</f>
        <v>Equador</v>
      </c>
      <c r="E20" s="327" t="str">
        <f>Tabela!N10</f>
        <v>Qatar</v>
      </c>
      <c r="F20" s="328" t="str">
        <f>Tabela!N11</f>
        <v>Senegal</v>
      </c>
      <c r="G20" s="339"/>
      <c r="H20" s="339"/>
    </row>
    <row r="21" spans="1:8" ht="15" customHeight="1" thickBot="1">
      <c r="A21" s="415" t="s">
        <v>36</v>
      </c>
      <c r="B21" s="414"/>
      <c r="C21" s="332" t="str">
        <f>Tabela!N16</f>
        <v>Inglaterra</v>
      </c>
      <c r="D21" s="333" t="str">
        <f>Tabela!N17</f>
        <v>País de Gales</v>
      </c>
      <c r="E21" s="333" t="str">
        <f>Tabela!N18</f>
        <v>Estados Unidos</v>
      </c>
      <c r="F21" s="334" t="str">
        <f>Tabela!N19</f>
        <v>Irã</v>
      </c>
      <c r="G21" s="339"/>
      <c r="H21" s="339"/>
    </row>
    <row r="22" spans="1:8" ht="15" customHeight="1" thickBot="1">
      <c r="A22" s="413" t="s">
        <v>37</v>
      </c>
      <c r="B22" s="414"/>
      <c r="C22" s="329" t="str">
        <f>Tabela!N24</f>
        <v>Argentina</v>
      </c>
      <c r="D22" s="330" t="str">
        <f>Tabela!N25</f>
        <v>Polônia</v>
      </c>
      <c r="E22" s="330" t="str">
        <f>Tabela!N26</f>
        <v>México</v>
      </c>
      <c r="F22" s="331" t="str">
        <f>Tabela!N27</f>
        <v>Arábia Saudita</v>
      </c>
      <c r="G22" s="339"/>
      <c r="H22" s="339"/>
    </row>
    <row r="23" spans="1:8" ht="15" customHeight="1" thickBot="1">
      <c r="A23" s="415" t="s">
        <v>38</v>
      </c>
      <c r="B23" s="414"/>
      <c r="C23" s="332" t="str">
        <f>Tabela!N32</f>
        <v>Dinamarca</v>
      </c>
      <c r="D23" s="333" t="str">
        <f>Tabela!N33</f>
        <v>França</v>
      </c>
      <c r="E23" s="333" t="str">
        <f>Tabela!N34</f>
        <v>Tunísia</v>
      </c>
      <c r="F23" s="334" t="str">
        <f>Tabela!N35</f>
        <v>Austrália</v>
      </c>
      <c r="G23" s="339"/>
      <c r="H23" s="339"/>
    </row>
    <row r="24" spans="1:8" ht="15" customHeight="1" thickBot="1">
      <c r="A24" s="413" t="s">
        <v>39</v>
      </c>
      <c r="B24" s="414"/>
      <c r="C24" s="329" t="str">
        <f>Tabela!N40</f>
        <v>Alemanha</v>
      </c>
      <c r="D24" s="330" t="str">
        <f>Tabela!N41</f>
        <v>Espanha</v>
      </c>
      <c r="E24" s="330" t="str">
        <f>Tabela!N42</f>
        <v>Costa Rica</v>
      </c>
      <c r="F24" s="331" t="str">
        <f>Tabela!N43</f>
        <v>Japão</v>
      </c>
      <c r="G24" s="339"/>
      <c r="H24" s="339"/>
    </row>
    <row r="25" spans="1:8" ht="15" customHeight="1" thickBot="1">
      <c r="A25" s="415" t="s">
        <v>40</v>
      </c>
      <c r="B25" s="414"/>
      <c r="C25" s="332" t="str">
        <f>Tabela!N48</f>
        <v>Croácia</v>
      </c>
      <c r="D25" s="333" t="str">
        <f>Tabela!N49</f>
        <v>Bélgica</v>
      </c>
      <c r="E25" s="333" t="str">
        <f>Tabela!N50</f>
        <v>Canadá</v>
      </c>
      <c r="F25" s="334" t="str">
        <f>Tabela!N51</f>
        <v>Marrocos</v>
      </c>
      <c r="G25" s="339"/>
      <c r="H25" s="339"/>
    </row>
    <row r="26" spans="1:8" ht="15" customHeight="1" thickBot="1">
      <c r="A26" s="413" t="s">
        <v>41</v>
      </c>
      <c r="B26" s="414"/>
      <c r="C26" s="329" t="str">
        <f>Tabela!N56</f>
        <v>Brasil</v>
      </c>
      <c r="D26" s="330" t="str">
        <f>Tabela!N57</f>
        <v>Suiça</v>
      </c>
      <c r="E26" s="330" t="str">
        <f>Tabela!N58</f>
        <v>Camarões</v>
      </c>
      <c r="F26" s="331" t="str">
        <f>Tabela!N59</f>
        <v>Sérvia</v>
      </c>
      <c r="G26" s="339"/>
      <c r="H26" s="339"/>
    </row>
    <row r="27" spans="1:8" ht="15" customHeight="1" thickBot="1">
      <c r="A27" s="415" t="s">
        <v>42</v>
      </c>
      <c r="B27" s="414"/>
      <c r="C27" s="335" t="str">
        <f>Tabela!N64</f>
        <v>Portugal</v>
      </c>
      <c r="D27" s="336" t="str">
        <f>Tabela!N65</f>
        <v>Uruguai</v>
      </c>
      <c r="E27" s="336" t="str">
        <f>Tabela!N66</f>
        <v>Gana</v>
      </c>
      <c r="F27" s="337" t="str">
        <f>Tabela!N67</f>
        <v>Coreia do Sul</v>
      </c>
      <c r="G27" s="339"/>
      <c r="H27" s="339"/>
    </row>
    <row r="28" spans="1:8" ht="12.75" customHeight="1" thickBot="1">
      <c r="A28" s="339"/>
      <c r="B28" s="339"/>
      <c r="C28" s="339"/>
      <c r="D28" s="339"/>
      <c r="E28" s="339"/>
      <c r="F28" s="339"/>
      <c r="G28" s="339"/>
      <c r="H28" s="339"/>
    </row>
    <row r="29" spans="1:8" ht="12.75" customHeight="1" thickBot="1">
      <c r="A29" s="339" t="s">
        <v>216</v>
      </c>
      <c r="B29" s="339"/>
      <c r="C29" s="367" t="str">
        <f>Tabela!E81</f>
        <v>Holanda</v>
      </c>
      <c r="D29" s="368" t="str">
        <f>Tabela!E83</f>
        <v>Inglaterra</v>
      </c>
      <c r="E29" s="368" t="str">
        <f>Tabela!K81</f>
        <v>Argentina</v>
      </c>
      <c r="F29" s="369" t="str">
        <f>Tabela!K83</f>
        <v>Polônia</v>
      </c>
      <c r="G29" s="339"/>
      <c r="H29" s="339"/>
    </row>
    <row r="30" spans="1:8" ht="12.75" customHeight="1" thickBot="1">
      <c r="A30" s="339"/>
      <c r="B30" s="339"/>
      <c r="C30" s="370" t="str">
        <f>Tabela!E82</f>
        <v>Alemanha</v>
      </c>
      <c r="D30" s="371" t="str">
        <f>Tabela!E84</f>
        <v>Espanha</v>
      </c>
      <c r="E30" s="371" t="str">
        <f>Tabela!K82</f>
        <v>Brasil</v>
      </c>
      <c r="F30" s="372" t="str">
        <f>Tabela!K84</f>
        <v>Portugal</v>
      </c>
      <c r="G30" s="339"/>
      <c r="H30" s="339"/>
    </row>
    <row r="31" spans="1:8" ht="12.75" customHeight="1" thickBot="1">
      <c r="A31" s="339"/>
      <c r="B31" s="339"/>
      <c r="C31" s="339"/>
      <c r="D31" s="339"/>
      <c r="E31" s="339"/>
      <c r="F31" s="339"/>
      <c r="G31" s="339"/>
      <c r="H31" s="339"/>
    </row>
    <row r="32" spans="1:8" ht="12.75" customHeight="1" thickBot="1">
      <c r="A32" s="339" t="s">
        <v>217</v>
      </c>
      <c r="B32" s="339"/>
      <c r="C32" s="367" t="str">
        <f>Tabela!E87</f>
        <v>Argentina</v>
      </c>
      <c r="D32" s="368" t="str">
        <f>Tabela!E88</f>
        <v>Inglaterra</v>
      </c>
      <c r="E32" s="368" t="str">
        <f>Tabela!K87</f>
        <v>Brasil</v>
      </c>
      <c r="F32" s="369" t="str">
        <f>Tabela!K88</f>
        <v>Portugal</v>
      </c>
      <c r="G32" s="339"/>
      <c r="H32" s="339"/>
    </row>
    <row r="33" spans="1:8" ht="12.75" customHeight="1">
      <c r="A33" s="339"/>
      <c r="B33" s="339"/>
      <c r="C33" s="339"/>
      <c r="D33" s="339"/>
      <c r="E33" s="339"/>
      <c r="F33" s="339"/>
      <c r="G33" s="339"/>
      <c r="H33" s="339"/>
    </row>
    <row r="34" spans="1:8" ht="12.75" customHeight="1" thickBot="1">
      <c r="A34" s="339"/>
      <c r="B34" s="339"/>
      <c r="C34" s="339" t="s">
        <v>219</v>
      </c>
      <c r="D34" s="339" t="s">
        <v>220</v>
      </c>
      <c r="E34" s="339" t="s">
        <v>221</v>
      </c>
      <c r="F34" s="339" t="s">
        <v>222</v>
      </c>
      <c r="G34" s="339"/>
      <c r="H34" s="339"/>
    </row>
    <row r="35" spans="1:8" ht="12.75" customHeight="1" thickBot="1">
      <c r="A35" s="339" t="s">
        <v>218</v>
      </c>
      <c r="B35" s="339"/>
      <c r="C35" s="367" t="str">
        <f>Tabela!O81</f>
        <v>Brasil</v>
      </c>
      <c r="D35" s="368" t="str">
        <f>Tabela!O87</f>
        <v>Inglaterra</v>
      </c>
      <c r="E35" s="368" t="str">
        <f>Tabela!O93</f>
        <v>Argentina</v>
      </c>
      <c r="F35" s="369" t="str">
        <f>Tabela!O94</f>
        <v>Portugal</v>
      </c>
      <c r="G35" s="339"/>
      <c r="H35" s="339"/>
    </row>
    <row r="36" spans="1:8" ht="12.75" customHeight="1">
      <c r="A36" s="339"/>
      <c r="B36" s="339"/>
      <c r="C36" s="339"/>
      <c r="D36" s="339"/>
      <c r="E36" s="339"/>
      <c r="F36" s="339"/>
      <c r="G36" s="339"/>
      <c r="H36" s="339"/>
    </row>
    <row r="37" spans="1:8" ht="12.75" customHeight="1">
      <c r="A37" s="339"/>
      <c r="B37" s="339"/>
      <c r="C37" s="339"/>
      <c r="D37" s="339"/>
      <c r="E37" s="339"/>
      <c r="F37" s="339"/>
      <c r="G37" s="339"/>
      <c r="H37" s="339"/>
    </row>
    <row r="38" spans="1:8" ht="12.75" customHeight="1">
      <c r="A38" s="339"/>
      <c r="B38" s="339"/>
      <c r="C38" s="339"/>
      <c r="D38" s="339"/>
      <c r="E38" s="339"/>
      <c r="F38" s="339"/>
      <c r="G38" s="339"/>
      <c r="H38" s="339"/>
    </row>
    <row r="39" spans="1:8" ht="12.75" customHeight="1">
      <c r="A39" s="339"/>
      <c r="B39" s="339"/>
      <c r="C39" s="339"/>
      <c r="D39" s="339"/>
      <c r="E39" s="339"/>
      <c r="F39" s="339"/>
      <c r="G39" s="339"/>
      <c r="H39" s="339"/>
    </row>
    <row r="40" spans="1:8" ht="12.75" customHeight="1">
      <c r="A40" s="339"/>
      <c r="B40" s="339"/>
      <c r="C40" s="339"/>
      <c r="D40" s="339"/>
      <c r="E40" s="339"/>
      <c r="F40" s="339"/>
      <c r="G40" s="339"/>
      <c r="H40" s="339"/>
    </row>
    <row r="41" spans="1:8" ht="12.75" customHeight="1">
      <c r="A41" s="339"/>
      <c r="B41" s="339"/>
      <c r="C41" s="339"/>
      <c r="D41" s="339"/>
      <c r="E41" s="339"/>
      <c r="F41" s="339"/>
      <c r="G41" s="339"/>
      <c r="H41" s="339"/>
    </row>
    <row r="42" spans="1:8" ht="12.75" customHeight="1">
      <c r="A42" s="339"/>
      <c r="B42" s="339"/>
      <c r="C42" s="339"/>
      <c r="D42" s="339"/>
      <c r="E42" s="339"/>
      <c r="F42" s="339"/>
      <c r="G42" s="339"/>
      <c r="H42" s="339"/>
    </row>
    <row r="43" spans="1:8" ht="12.75" customHeight="1">
      <c r="A43" s="339"/>
      <c r="B43" s="339"/>
      <c r="C43" s="339"/>
      <c r="D43" s="339"/>
      <c r="E43" s="339"/>
      <c r="F43" s="339"/>
      <c r="G43" s="339"/>
      <c r="H43" s="339"/>
    </row>
    <row r="44" spans="1:8" ht="12.75" customHeight="1">
      <c r="A44" s="339"/>
      <c r="B44" s="339"/>
      <c r="C44" s="339"/>
      <c r="D44" s="339"/>
      <c r="E44" s="339"/>
      <c r="F44" s="339"/>
      <c r="G44" s="339"/>
      <c r="H44" s="339"/>
    </row>
    <row r="45" spans="1:8" ht="12.75" customHeight="1">
      <c r="A45" s="339"/>
      <c r="B45" s="339"/>
      <c r="C45" s="339"/>
      <c r="D45" s="339"/>
      <c r="E45" s="339"/>
      <c r="F45" s="339"/>
      <c r="G45" s="339"/>
      <c r="H45" s="339"/>
    </row>
    <row r="46" spans="1:8" ht="12.75" customHeight="1">
      <c r="A46" s="339"/>
      <c r="B46" s="339"/>
      <c r="C46" s="339"/>
      <c r="D46" s="339"/>
      <c r="E46" s="339"/>
      <c r="F46" s="339"/>
      <c r="G46" s="339"/>
      <c r="H46" s="339"/>
    </row>
    <row r="47" spans="1:8" ht="12.75" customHeight="1">
      <c r="A47" s="339"/>
      <c r="B47" s="339"/>
      <c r="C47" s="339"/>
      <c r="D47" s="339"/>
      <c r="E47" s="339"/>
      <c r="F47" s="339"/>
      <c r="G47" s="339"/>
      <c r="H47" s="339"/>
    </row>
    <row r="48" spans="1:8" ht="12.75" customHeight="1">
      <c r="A48" s="339"/>
      <c r="B48" s="339"/>
      <c r="C48" s="339"/>
      <c r="D48" s="339"/>
      <c r="E48" s="339"/>
      <c r="F48" s="339"/>
      <c r="G48" s="339"/>
      <c r="H48" s="339"/>
    </row>
    <row r="49" spans="1:8" ht="12.75" customHeight="1">
      <c r="A49" s="339"/>
      <c r="B49" s="339"/>
      <c r="C49" s="339"/>
      <c r="D49" s="339"/>
      <c r="E49" s="339"/>
      <c r="F49" s="339"/>
      <c r="G49" s="339"/>
      <c r="H49" s="339"/>
    </row>
    <row r="50" spans="1:8" ht="12.75" customHeight="1">
      <c r="A50" s="339"/>
      <c r="B50" s="339"/>
      <c r="C50" s="339"/>
      <c r="D50" s="339"/>
      <c r="E50" s="339"/>
      <c r="F50" s="339"/>
      <c r="G50" s="339"/>
      <c r="H50" s="339"/>
    </row>
    <row r="51" spans="1:8" ht="12.75" customHeight="1">
      <c r="A51" s="339"/>
      <c r="B51" s="339"/>
      <c r="C51" s="339"/>
      <c r="D51" s="339"/>
      <c r="E51" s="339"/>
      <c r="F51" s="339"/>
      <c r="G51" s="339"/>
      <c r="H51" s="339"/>
    </row>
    <row r="52" spans="1:8" ht="12.75" customHeight="1">
      <c r="A52" s="339"/>
      <c r="B52" s="339"/>
      <c r="C52" s="339"/>
      <c r="D52" s="339"/>
      <c r="E52" s="339"/>
      <c r="F52" s="339"/>
      <c r="G52" s="339"/>
      <c r="H52" s="339"/>
    </row>
    <row r="53" spans="1:8" ht="12.75" customHeight="1">
      <c r="A53" s="339"/>
      <c r="B53" s="339"/>
      <c r="C53" s="339"/>
      <c r="D53" s="339"/>
      <c r="E53" s="339"/>
      <c r="F53" s="339"/>
      <c r="G53" s="339"/>
      <c r="H53" s="339"/>
    </row>
    <row r="54" spans="1:8" ht="12.75" customHeight="1">
      <c r="A54" s="339"/>
      <c r="B54" s="339"/>
      <c r="C54" s="339"/>
      <c r="D54" s="339"/>
      <c r="E54" s="339"/>
      <c r="F54" s="339"/>
      <c r="G54" s="339"/>
      <c r="H54" s="339"/>
    </row>
    <row r="55" spans="1:8" ht="12.75" customHeight="1">
      <c r="A55" s="339"/>
      <c r="B55" s="339"/>
      <c r="C55" s="339"/>
      <c r="D55" s="339"/>
      <c r="E55" s="339"/>
      <c r="F55" s="339"/>
      <c r="G55" s="339"/>
      <c r="H55" s="339"/>
    </row>
    <row r="56" spans="1:8" ht="12.75" customHeight="1">
      <c r="A56" s="339"/>
      <c r="B56" s="339"/>
      <c r="C56" s="339"/>
      <c r="D56" s="339"/>
      <c r="E56" s="339"/>
      <c r="F56" s="339"/>
      <c r="G56" s="339"/>
      <c r="H56" s="339"/>
    </row>
    <row r="57" spans="1:8" ht="12.75" customHeight="1">
      <c r="A57" s="339"/>
      <c r="B57" s="339"/>
      <c r="C57" s="339"/>
      <c r="D57" s="339"/>
      <c r="E57" s="339"/>
      <c r="F57" s="339"/>
      <c r="G57" s="339"/>
      <c r="H57" s="339"/>
    </row>
    <row r="58" spans="1:8" ht="12.75" customHeight="1">
      <c r="A58" s="339"/>
      <c r="B58" s="339"/>
      <c r="C58" s="339"/>
      <c r="D58" s="339"/>
      <c r="E58" s="339"/>
      <c r="F58" s="339"/>
      <c r="G58" s="339"/>
      <c r="H58" s="339"/>
    </row>
    <row r="59" spans="1:8" ht="12.75" customHeight="1">
      <c r="A59" s="339"/>
      <c r="B59" s="339"/>
      <c r="C59" s="339"/>
      <c r="D59" s="339"/>
      <c r="E59" s="339"/>
      <c r="F59" s="339"/>
      <c r="G59" s="339"/>
      <c r="H59" s="339"/>
    </row>
    <row r="60" spans="1:8" ht="12.75" customHeight="1">
      <c r="A60" s="339"/>
      <c r="B60" s="339"/>
      <c r="C60" s="339"/>
      <c r="D60" s="339"/>
      <c r="E60" s="339"/>
      <c r="F60" s="339"/>
      <c r="G60" s="339"/>
      <c r="H60" s="339"/>
    </row>
    <row r="61" spans="1:8" ht="12.75" customHeight="1">
      <c r="A61" s="339"/>
      <c r="B61" s="339"/>
      <c r="C61" s="339"/>
      <c r="D61" s="339"/>
      <c r="E61" s="339"/>
      <c r="F61" s="339"/>
      <c r="G61" s="339"/>
      <c r="H61" s="339"/>
    </row>
    <row r="62" spans="1:8" ht="12.75" customHeight="1">
      <c r="A62" s="339"/>
      <c r="B62" s="339"/>
      <c r="C62" s="339"/>
      <c r="D62" s="339"/>
      <c r="E62" s="339"/>
      <c r="F62" s="339"/>
      <c r="G62" s="339"/>
      <c r="H62" s="339"/>
    </row>
    <row r="63" spans="1:8" ht="12.75" customHeight="1">
      <c r="A63" s="339"/>
      <c r="B63" s="339"/>
      <c r="C63" s="339"/>
      <c r="D63" s="339"/>
      <c r="E63" s="339"/>
      <c r="F63" s="339"/>
      <c r="G63" s="339"/>
      <c r="H63" s="339"/>
    </row>
    <row r="64" spans="1:8" ht="12.75" customHeight="1">
      <c r="A64" s="339"/>
      <c r="B64" s="339"/>
      <c r="C64" s="339"/>
      <c r="D64" s="339"/>
      <c r="E64" s="339"/>
      <c r="F64" s="339"/>
      <c r="G64" s="339"/>
      <c r="H64" s="339"/>
    </row>
    <row r="65" spans="1:8" ht="12.75" customHeight="1">
      <c r="A65" s="339"/>
      <c r="B65" s="339"/>
      <c r="C65" s="339"/>
      <c r="D65" s="339"/>
      <c r="E65" s="339"/>
      <c r="F65" s="339"/>
      <c r="G65" s="339"/>
      <c r="H65" s="339"/>
    </row>
    <row r="66" spans="1:8" ht="12.75" customHeight="1">
      <c r="A66" s="339"/>
      <c r="B66" s="339"/>
      <c r="C66" s="339"/>
      <c r="D66" s="339"/>
      <c r="E66" s="339"/>
      <c r="F66" s="339"/>
      <c r="G66" s="339"/>
      <c r="H66" s="339"/>
    </row>
    <row r="67" spans="1:8" ht="12.75" customHeight="1">
      <c r="A67" s="339"/>
      <c r="B67" s="339"/>
      <c r="C67" s="339"/>
      <c r="D67" s="339"/>
      <c r="E67" s="339"/>
      <c r="F67" s="339"/>
      <c r="G67" s="339"/>
      <c r="H67" s="339"/>
    </row>
    <row r="68" spans="1:8" ht="12.75" customHeight="1">
      <c r="A68" s="339"/>
      <c r="B68" s="339"/>
      <c r="C68" s="339"/>
      <c r="D68" s="339"/>
      <c r="E68" s="339"/>
      <c r="F68" s="339"/>
      <c r="G68" s="339"/>
      <c r="H68" s="339"/>
    </row>
    <row r="69" spans="1:8" ht="12.75" customHeight="1">
      <c r="A69" s="339"/>
      <c r="B69" s="339"/>
      <c r="C69" s="339"/>
      <c r="D69" s="339"/>
      <c r="E69" s="339"/>
      <c r="F69" s="339"/>
      <c r="G69" s="339"/>
      <c r="H69" s="339"/>
    </row>
    <row r="70" spans="1:8" ht="12.75" customHeight="1">
      <c r="A70" s="339"/>
      <c r="B70" s="339"/>
      <c r="C70" s="339"/>
      <c r="D70" s="339"/>
      <c r="E70" s="339"/>
      <c r="F70" s="339"/>
      <c r="G70" s="339"/>
      <c r="H70" s="339"/>
    </row>
    <row r="71" spans="1:8" ht="12.75" customHeight="1">
      <c r="A71" s="339"/>
      <c r="B71" s="339"/>
      <c r="C71" s="339"/>
      <c r="D71" s="339"/>
      <c r="E71" s="339"/>
      <c r="F71" s="339"/>
      <c r="G71" s="339"/>
      <c r="H71" s="339"/>
    </row>
    <row r="72" spans="1:8" ht="12.75" customHeight="1">
      <c r="A72" s="339"/>
      <c r="B72" s="339"/>
      <c r="C72" s="339"/>
      <c r="D72" s="339"/>
      <c r="E72" s="339"/>
      <c r="F72" s="339"/>
      <c r="G72" s="339"/>
      <c r="H72" s="339"/>
    </row>
    <row r="73" spans="1:8" ht="12.75" customHeight="1">
      <c r="A73" s="339"/>
      <c r="B73" s="339"/>
      <c r="C73" s="339"/>
      <c r="D73" s="339"/>
      <c r="E73" s="339"/>
      <c r="F73" s="339"/>
      <c r="G73" s="339"/>
      <c r="H73" s="339"/>
    </row>
    <row r="74" spans="1:8" ht="12.75" customHeight="1">
      <c r="A74" s="339"/>
      <c r="B74" s="339"/>
      <c r="C74" s="339"/>
      <c r="D74" s="339"/>
      <c r="E74" s="339"/>
      <c r="F74" s="339"/>
      <c r="G74" s="339"/>
      <c r="H74" s="339"/>
    </row>
    <row r="75" spans="1:8" ht="12.75" customHeight="1">
      <c r="A75" s="339"/>
      <c r="B75" s="339"/>
      <c r="C75" s="339"/>
      <c r="D75" s="339"/>
      <c r="E75" s="339"/>
      <c r="F75" s="339"/>
      <c r="G75" s="339"/>
      <c r="H75" s="339"/>
    </row>
    <row r="76" spans="1:8" ht="12.75" customHeight="1">
      <c r="A76" s="339"/>
      <c r="B76" s="339"/>
      <c r="C76" s="339"/>
      <c r="D76" s="339"/>
      <c r="E76" s="339"/>
      <c r="F76" s="339"/>
      <c r="G76" s="339"/>
      <c r="H76" s="339"/>
    </row>
    <row r="77" spans="1:8" ht="12.75" customHeight="1">
      <c r="A77" s="339"/>
      <c r="B77" s="339"/>
      <c r="C77" s="339"/>
      <c r="D77" s="339"/>
      <c r="E77" s="339"/>
      <c r="F77" s="339"/>
      <c r="G77" s="339"/>
      <c r="H77" s="339"/>
    </row>
    <row r="78" spans="1:8" ht="12.75" customHeight="1">
      <c r="A78" s="339"/>
      <c r="B78" s="339"/>
      <c r="C78" s="339"/>
      <c r="D78" s="339"/>
      <c r="E78" s="339"/>
      <c r="F78" s="339"/>
      <c r="G78" s="339"/>
      <c r="H78" s="339"/>
    </row>
    <row r="79" spans="1:8" ht="12.75" customHeight="1">
      <c r="A79" s="339"/>
      <c r="B79" s="339"/>
      <c r="C79" s="339"/>
      <c r="D79" s="339"/>
      <c r="E79" s="339"/>
      <c r="F79" s="339"/>
      <c r="G79" s="339"/>
      <c r="H79" s="339"/>
    </row>
    <row r="80" spans="1:8" ht="12.75" customHeight="1">
      <c r="A80" s="339"/>
      <c r="B80" s="339"/>
      <c r="C80" s="339"/>
      <c r="D80" s="339"/>
      <c r="E80" s="339"/>
      <c r="F80" s="339"/>
      <c r="G80" s="339"/>
      <c r="H80" s="339"/>
    </row>
    <row r="81" spans="1:8" ht="12.75" customHeight="1">
      <c r="A81" s="339"/>
      <c r="B81" s="339"/>
      <c r="C81" s="339"/>
      <c r="D81" s="339"/>
      <c r="E81" s="339"/>
      <c r="F81" s="339"/>
      <c r="G81" s="339"/>
      <c r="H81" s="339"/>
    </row>
    <row r="82" spans="1:8" ht="12.75" customHeight="1">
      <c r="A82" s="339"/>
      <c r="B82" s="339"/>
      <c r="C82" s="339"/>
      <c r="D82" s="339"/>
      <c r="E82" s="339"/>
      <c r="F82" s="339"/>
      <c r="G82" s="339"/>
      <c r="H82" s="339"/>
    </row>
    <row r="83" spans="1:8" ht="12.75" customHeight="1">
      <c r="A83" s="339"/>
      <c r="B83" s="339"/>
      <c r="C83" s="339"/>
      <c r="D83" s="339"/>
      <c r="E83" s="339"/>
      <c r="F83" s="339"/>
      <c r="G83" s="339"/>
      <c r="H83" s="339"/>
    </row>
    <row r="84" spans="1:8" ht="12.75" customHeight="1">
      <c r="G84" s="339"/>
      <c r="H84" s="339"/>
    </row>
    <row r="85" spans="1:8" ht="12.75" customHeight="1">
      <c r="G85" s="339"/>
      <c r="H85" s="339"/>
    </row>
    <row r="86" spans="1:8" ht="12.75" customHeight="1">
      <c r="G86" s="339"/>
      <c r="H86" s="339"/>
    </row>
    <row r="87" spans="1:8" ht="12.75" customHeight="1">
      <c r="G87" s="339"/>
      <c r="H87" s="339"/>
    </row>
    <row r="88" spans="1:8" ht="12.75" customHeight="1">
      <c r="G88" s="339"/>
      <c r="H88" s="339"/>
    </row>
    <row r="89" spans="1:8" ht="12.75" customHeight="1">
      <c r="G89" s="339"/>
      <c r="H89" s="339"/>
    </row>
    <row r="90" spans="1:8" ht="12.75" customHeight="1">
      <c r="G90" s="339"/>
      <c r="H90" s="339"/>
    </row>
    <row r="91" spans="1:8" ht="12.75" customHeight="1">
      <c r="G91" s="339"/>
      <c r="H91" s="339"/>
    </row>
    <row r="92" spans="1:8" ht="12.75" customHeight="1">
      <c r="G92" s="339"/>
      <c r="H92" s="339"/>
    </row>
    <row r="93" spans="1:8" ht="12.75" customHeight="1">
      <c r="G93" s="339"/>
      <c r="H93" s="339"/>
    </row>
    <row r="94" spans="1:8" ht="12.75" customHeight="1">
      <c r="G94" s="339"/>
      <c r="H94" s="339"/>
    </row>
    <row r="95" spans="1:8" ht="12.75" customHeight="1">
      <c r="G95" s="339"/>
      <c r="H95" s="339"/>
    </row>
    <row r="96" spans="1:8" ht="12.75" customHeight="1">
      <c r="G96" s="339"/>
      <c r="H96" s="339"/>
    </row>
    <row r="97" spans="7:8" ht="12.75" customHeight="1">
      <c r="G97" s="339"/>
      <c r="H97" s="339"/>
    </row>
    <row r="98" spans="7:8" ht="12.75" customHeight="1">
      <c r="G98" s="339"/>
      <c r="H98" s="339"/>
    </row>
    <row r="99" spans="7:8" ht="12.75" customHeight="1">
      <c r="G99" s="339"/>
      <c r="H99" s="339"/>
    </row>
    <row r="100" spans="7:8" ht="12.75" customHeight="1">
      <c r="G100" s="339"/>
      <c r="H100" s="339"/>
    </row>
    <row r="101" spans="7:8" ht="12.75" customHeight="1">
      <c r="G101" s="339"/>
      <c r="H101" s="339"/>
    </row>
    <row r="102" spans="7:8" ht="12.75" customHeight="1">
      <c r="G102" s="339"/>
      <c r="H102" s="339"/>
    </row>
    <row r="103" spans="7:8" ht="12.75" customHeight="1">
      <c r="G103" s="339"/>
      <c r="H103" s="339"/>
    </row>
    <row r="104" spans="7:8" ht="12.75" customHeight="1">
      <c r="G104" s="339"/>
      <c r="H104" s="339"/>
    </row>
    <row r="105" spans="7:8" ht="12.75" customHeight="1">
      <c r="G105" s="339"/>
      <c r="H105" s="339"/>
    </row>
    <row r="106" spans="7:8" ht="12.75" customHeight="1">
      <c r="G106" s="339"/>
      <c r="H106" s="339"/>
    </row>
    <row r="107" spans="7:8" ht="12.75" customHeight="1">
      <c r="G107" s="339"/>
      <c r="H107" s="339"/>
    </row>
    <row r="108" spans="7:8" ht="12.75" customHeight="1">
      <c r="G108" s="339"/>
      <c r="H108" s="339"/>
    </row>
    <row r="109" spans="7:8" ht="12.75" customHeight="1">
      <c r="G109" s="339"/>
      <c r="H109" s="339"/>
    </row>
    <row r="110" spans="7:8" ht="12.75" customHeight="1">
      <c r="G110" s="339"/>
      <c r="H110" s="339"/>
    </row>
    <row r="111" spans="7:8" ht="12.75" customHeight="1">
      <c r="G111" s="339"/>
      <c r="H111" s="339"/>
    </row>
    <row r="112" spans="7:8" ht="12.75" customHeight="1">
      <c r="G112" s="339"/>
      <c r="H112" s="339"/>
    </row>
    <row r="113" spans="7:8" ht="12.75" customHeight="1">
      <c r="G113" s="339"/>
      <c r="H113" s="339"/>
    </row>
    <row r="114" spans="7:8" ht="12.75" customHeight="1">
      <c r="G114" s="339"/>
      <c r="H114" s="339"/>
    </row>
    <row r="115" spans="7:8" ht="12.75" customHeight="1">
      <c r="G115" s="339"/>
      <c r="H115" s="339"/>
    </row>
    <row r="116" spans="7:8" ht="12.75" customHeight="1">
      <c r="G116" s="339"/>
      <c r="H116" s="339"/>
    </row>
    <row r="117" spans="7:8" ht="12.75" customHeight="1">
      <c r="G117" s="339"/>
      <c r="H117" s="339"/>
    </row>
    <row r="118" spans="7:8" ht="12.75" customHeight="1">
      <c r="G118" s="339"/>
      <c r="H118" s="339"/>
    </row>
    <row r="119" spans="7:8" ht="12.75" customHeight="1">
      <c r="G119" s="339"/>
      <c r="H119" s="339"/>
    </row>
    <row r="120" spans="7:8" ht="12.75" customHeight="1">
      <c r="G120" s="339"/>
      <c r="H120" s="339"/>
    </row>
    <row r="121" spans="7:8" ht="12.75" customHeight="1">
      <c r="G121" s="339"/>
      <c r="H121" s="339"/>
    </row>
    <row r="122" spans="7:8" ht="12.75" customHeight="1">
      <c r="G122" s="339"/>
      <c r="H122" s="339"/>
    </row>
    <row r="123" spans="7:8" ht="12.75" customHeight="1">
      <c r="G123" s="339"/>
      <c r="H123" s="339"/>
    </row>
    <row r="124" spans="7:8" ht="12.75" customHeight="1">
      <c r="G124" s="339"/>
      <c r="H124" s="339"/>
    </row>
    <row r="125" spans="7:8" ht="12.75" customHeight="1">
      <c r="G125" s="339"/>
      <c r="H125" s="339"/>
    </row>
    <row r="126" spans="7:8" ht="12.75" customHeight="1">
      <c r="G126" s="339"/>
      <c r="H126" s="339"/>
    </row>
    <row r="127" spans="7:8" ht="12.75" customHeight="1">
      <c r="G127" s="339"/>
      <c r="H127" s="339"/>
    </row>
    <row r="128" spans="7:8" ht="12.75" customHeight="1">
      <c r="G128" s="339"/>
      <c r="H128" s="339"/>
    </row>
    <row r="129" spans="7:8" ht="12.75" customHeight="1">
      <c r="G129" s="339"/>
      <c r="H129" s="339"/>
    </row>
    <row r="130" spans="7:8" ht="12.75" customHeight="1">
      <c r="G130" s="339"/>
      <c r="H130" s="339"/>
    </row>
    <row r="131" spans="7:8" ht="12.75" customHeight="1">
      <c r="G131" s="339"/>
      <c r="H131" s="339"/>
    </row>
    <row r="132" spans="7:8" ht="12.75" customHeight="1">
      <c r="G132" s="339"/>
      <c r="H132" s="339"/>
    </row>
    <row r="133" spans="7:8" ht="12.75" customHeight="1">
      <c r="G133" s="339"/>
      <c r="H133" s="339"/>
    </row>
    <row r="134" spans="7:8" ht="12.75" customHeight="1">
      <c r="G134" s="339"/>
      <c r="H134" s="339"/>
    </row>
    <row r="135" spans="7:8" ht="12.75" customHeight="1">
      <c r="G135" s="339"/>
      <c r="H135" s="339"/>
    </row>
    <row r="136" spans="7:8" ht="12.75" customHeight="1">
      <c r="G136" s="339"/>
      <c r="H136" s="339"/>
    </row>
    <row r="137" spans="7:8" ht="12.75" customHeight="1">
      <c r="G137" s="339"/>
      <c r="H137" s="339"/>
    </row>
    <row r="138" spans="7:8" ht="12.75" customHeight="1">
      <c r="G138" s="339"/>
      <c r="H138" s="339"/>
    </row>
    <row r="139" spans="7:8" ht="12.75" customHeight="1">
      <c r="G139" s="339"/>
      <c r="H139" s="339"/>
    </row>
    <row r="140" spans="7:8" ht="12.75" customHeight="1">
      <c r="G140" s="339"/>
      <c r="H140" s="339"/>
    </row>
    <row r="141" spans="7:8" ht="12.75" customHeight="1">
      <c r="G141" s="339"/>
      <c r="H141" s="339"/>
    </row>
    <row r="142" spans="7:8" ht="12.75" customHeight="1">
      <c r="G142" s="339"/>
      <c r="H142" s="339"/>
    </row>
    <row r="143" spans="7:8" ht="12.75" customHeight="1">
      <c r="G143" s="339"/>
      <c r="H143" s="339"/>
    </row>
    <row r="144" spans="7:8" ht="12.75" customHeight="1">
      <c r="G144" s="339"/>
      <c r="H144" s="339"/>
    </row>
    <row r="145" spans="7:8" ht="12.75" customHeight="1">
      <c r="G145" s="339"/>
      <c r="H145" s="339"/>
    </row>
    <row r="146" spans="7:8" ht="12.75" customHeight="1">
      <c r="G146" s="339"/>
      <c r="H146" s="339"/>
    </row>
    <row r="147" spans="7:8" ht="12.75" customHeight="1">
      <c r="G147" s="339"/>
      <c r="H147" s="339"/>
    </row>
    <row r="148" spans="7:8" ht="12.75" customHeight="1">
      <c r="G148" s="339"/>
      <c r="H148" s="339"/>
    </row>
    <row r="149" spans="7:8" ht="12.75" customHeight="1">
      <c r="G149" s="339"/>
      <c r="H149" s="339"/>
    </row>
    <row r="150" spans="7:8" ht="12.75" customHeight="1">
      <c r="G150" s="339"/>
      <c r="H150" s="339"/>
    </row>
    <row r="151" spans="7:8" ht="12.75" customHeight="1">
      <c r="G151" s="339"/>
      <c r="H151" s="339"/>
    </row>
    <row r="152" spans="7:8" ht="12.75" customHeight="1">
      <c r="G152" s="339"/>
      <c r="H152" s="339"/>
    </row>
    <row r="153" spans="7:8" ht="12.75" customHeight="1">
      <c r="G153" s="339"/>
      <c r="H153" s="339"/>
    </row>
    <row r="154" spans="7:8" ht="12.75" customHeight="1">
      <c r="G154" s="339"/>
      <c r="H154" s="339"/>
    </row>
    <row r="155" spans="7:8" ht="12.75" customHeight="1">
      <c r="G155" s="339"/>
      <c r="H155" s="339"/>
    </row>
    <row r="156" spans="7:8" ht="12.75" customHeight="1">
      <c r="G156" s="339"/>
      <c r="H156" s="339"/>
    </row>
    <row r="157" spans="7:8" ht="12.75" customHeight="1">
      <c r="G157" s="339"/>
      <c r="H157" s="339"/>
    </row>
    <row r="158" spans="7:8" ht="12.75" customHeight="1">
      <c r="G158" s="339"/>
      <c r="H158" s="339"/>
    </row>
    <row r="159" spans="7:8" ht="12.75" customHeight="1">
      <c r="G159" s="339"/>
      <c r="H159" s="339"/>
    </row>
    <row r="160" spans="7:8" ht="12.75" customHeight="1">
      <c r="G160" s="339"/>
      <c r="H160" s="339"/>
    </row>
    <row r="161" spans="7:8" ht="12.75" customHeight="1">
      <c r="G161" s="339"/>
      <c r="H161" s="339"/>
    </row>
    <row r="162" spans="7:8" ht="12.75" customHeight="1">
      <c r="G162" s="339"/>
      <c r="H162" s="339"/>
    </row>
    <row r="163" spans="7:8" ht="12.75" customHeight="1">
      <c r="G163" s="339"/>
      <c r="H163" s="339"/>
    </row>
    <row r="164" spans="7:8" ht="12.75" customHeight="1">
      <c r="G164" s="339"/>
      <c r="H164" s="339"/>
    </row>
    <row r="165" spans="7:8" ht="12.75" customHeight="1">
      <c r="G165" s="339"/>
      <c r="H165" s="339"/>
    </row>
    <row r="166" spans="7:8" ht="12.75" customHeight="1">
      <c r="G166" s="339"/>
      <c r="H166" s="339"/>
    </row>
    <row r="167" spans="7:8" ht="12.75" customHeight="1">
      <c r="G167" s="339"/>
      <c r="H167" s="339"/>
    </row>
    <row r="168" spans="7:8" ht="12.75" customHeight="1">
      <c r="G168" s="339"/>
      <c r="H168" s="339"/>
    </row>
    <row r="169" spans="7:8" ht="12.75" customHeight="1">
      <c r="G169" s="339"/>
      <c r="H169" s="339"/>
    </row>
    <row r="170" spans="7:8" ht="12.75" customHeight="1">
      <c r="G170" s="339"/>
      <c r="H170" s="339"/>
    </row>
    <row r="171" spans="7:8" ht="12.75" customHeight="1">
      <c r="G171" s="339"/>
      <c r="H171" s="339"/>
    </row>
    <row r="172" spans="7:8" ht="12.75" customHeight="1">
      <c r="G172" s="339"/>
      <c r="H172" s="339"/>
    </row>
    <row r="173" spans="7:8" ht="12.75" customHeight="1">
      <c r="G173" s="339"/>
      <c r="H173" s="339"/>
    </row>
    <row r="174" spans="7:8" ht="12.75" customHeight="1">
      <c r="G174" s="339"/>
      <c r="H174" s="339"/>
    </row>
    <row r="175" spans="7:8" ht="12.75" customHeight="1">
      <c r="G175" s="339"/>
      <c r="H175" s="339"/>
    </row>
    <row r="176" spans="7:8" ht="12.75" customHeight="1">
      <c r="G176" s="339"/>
      <c r="H176" s="339"/>
    </row>
    <row r="177" spans="7:8" ht="12.75" customHeight="1">
      <c r="G177" s="339"/>
      <c r="H177" s="339"/>
    </row>
    <row r="178" spans="7:8" ht="12.75" customHeight="1">
      <c r="G178" s="339"/>
      <c r="H178" s="339"/>
    </row>
    <row r="179" spans="7:8" ht="12.75" customHeight="1">
      <c r="G179" s="339"/>
      <c r="H179" s="339"/>
    </row>
    <row r="180" spans="7:8" ht="12.75" customHeight="1">
      <c r="G180" s="339"/>
      <c r="H180" s="339"/>
    </row>
    <row r="181" spans="7:8" ht="12.75" customHeight="1">
      <c r="G181" s="339"/>
      <c r="H181" s="339"/>
    </row>
    <row r="182" spans="7:8" ht="12.75" customHeight="1">
      <c r="G182" s="339"/>
      <c r="H182" s="339"/>
    </row>
    <row r="183" spans="7:8" ht="12.75" customHeight="1">
      <c r="G183" s="339"/>
      <c r="H183" s="339"/>
    </row>
    <row r="184" spans="7:8" ht="12.75" customHeight="1">
      <c r="G184" s="339"/>
      <c r="H184" s="339"/>
    </row>
    <row r="185" spans="7:8" ht="12.75" customHeight="1">
      <c r="G185" s="339"/>
      <c r="H185" s="339"/>
    </row>
    <row r="186" spans="7:8" ht="12.75" customHeight="1">
      <c r="G186" s="339"/>
      <c r="H186" s="339"/>
    </row>
    <row r="187" spans="7:8" ht="12.75" customHeight="1">
      <c r="G187" s="339"/>
      <c r="H187" s="339"/>
    </row>
    <row r="188" spans="7:8" ht="12.75" customHeight="1">
      <c r="G188" s="339"/>
      <c r="H188" s="339"/>
    </row>
    <row r="189" spans="7:8" ht="12.75" customHeight="1">
      <c r="G189" s="339"/>
      <c r="H189" s="339"/>
    </row>
    <row r="190" spans="7:8" ht="12.75" customHeight="1">
      <c r="G190" s="339"/>
      <c r="H190" s="339"/>
    </row>
    <row r="191" spans="7:8" ht="12.75" customHeight="1">
      <c r="G191" s="339"/>
      <c r="H191" s="339"/>
    </row>
    <row r="192" spans="7:8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</sheetData>
  <sheetProtection algorithmName="SHA-512" hashValue="bRZ6zhaAg3RF8Jq6GpFRM9RRoSS7h2ORT+Vz857rTFQGIsAD8hSHGquWtAGhIgyPMZYh0Za57Kb9Vz1wOPaJ/g==" saltValue="/QwDY8ivWKJQCY7Q0H4YJw==" spinCount="100000" sheet="1" objects="1" scenarios="1"/>
  <mergeCells count="8">
    <mergeCell ref="A26:B26"/>
    <mergeCell ref="A27:B27"/>
    <mergeCell ref="A20:B20"/>
    <mergeCell ref="A21:B21"/>
    <mergeCell ref="A22:B22"/>
    <mergeCell ref="A23:B23"/>
    <mergeCell ref="A24:B24"/>
    <mergeCell ref="A25:B25"/>
  </mergeCells>
  <dataValidations count="4">
    <dataValidation type="list" allowBlank="1" showErrorMessage="1" sqref="B12" xr:uid="{AE663BFB-CEE9-49E5-B8E9-A09AD9343068}">
      <formula1>Lista_Pior_Ataque</formula1>
    </dataValidation>
    <dataValidation type="list" allowBlank="1" showErrorMessage="1" sqref="B11" xr:uid="{024E9E24-EEED-4B62-BE92-271107C70C40}">
      <formula1>Lista_Melhor_Ataque</formula1>
    </dataValidation>
    <dataValidation type="list" showInputMessage="1" showErrorMessage="1" sqref="B9" xr:uid="{B1F7AB9A-2179-4297-8828-C6DC4125C2E9}">
      <formula1>Lista_Melhor_Campanha</formula1>
    </dataValidation>
    <dataValidation type="list" allowBlank="1" showInputMessage="1" showErrorMessage="1" sqref="B10" xr:uid="{184017D1-990D-485D-B382-38125F7A463F}">
      <formula1>Lista_Pior_Campanha</formula1>
    </dataValidation>
  </dataValidations>
  <pageMargins left="0.78740157499999996" right="0.78740157499999996" top="0.984251969" bottom="0.984251969" header="0" footer="0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9A16081D-5C22-492A-AF36-298EDCF8BAA9}">
            <xm:f>SUM(Jogo!$C$69:$C$76)&lt;24</xm:f>
            <x14:dxf>
              <fill>
                <patternFill>
                  <bgColor theme="1"/>
                </patternFill>
              </fill>
            </x14:dxf>
          </x14:cfRule>
          <xm:sqref>B9:B12</xm:sqref>
        </x14:conditionalFormatting>
        <x14:conditionalFormatting xmlns:xm="http://schemas.microsoft.com/office/excel/2006/main">
          <x14:cfRule type="expression" priority="14" id="{532A4383-1B13-4BD7-BFB0-E693991A60CC}">
            <xm:f>SUM(Tabela!$P$8:$P$11)&lt;12</xm:f>
            <x14:dxf>
              <fill>
                <patternFill>
                  <bgColor theme="1"/>
                </patternFill>
              </fill>
            </x14:dxf>
          </x14:cfRule>
          <xm:sqref>C20:F20</xm:sqref>
        </x14:conditionalFormatting>
        <x14:conditionalFormatting xmlns:xm="http://schemas.microsoft.com/office/excel/2006/main">
          <x14:cfRule type="expression" priority="13" id="{5350DC8D-2AAF-409B-AC4B-21873E0FB725}">
            <xm:f>SUM(Tabela!$P$16:$P$19)&lt;12</xm:f>
            <x14:dxf>
              <fill>
                <patternFill>
                  <bgColor theme="1"/>
                </patternFill>
              </fill>
            </x14:dxf>
          </x14:cfRule>
          <xm:sqref>C21:F21</xm:sqref>
        </x14:conditionalFormatting>
        <x14:conditionalFormatting xmlns:xm="http://schemas.microsoft.com/office/excel/2006/main">
          <x14:cfRule type="expression" priority="12" id="{C2856ED6-8F15-4F7C-B272-E58AA0D6BCCD}">
            <xm:f>SUM(Tabela!$P$24:$P$27)&lt;12</xm:f>
            <x14:dxf>
              <fill>
                <patternFill>
                  <bgColor theme="1"/>
                </patternFill>
              </fill>
            </x14:dxf>
          </x14:cfRule>
          <xm:sqref>C22:F22</xm:sqref>
        </x14:conditionalFormatting>
        <x14:conditionalFormatting xmlns:xm="http://schemas.microsoft.com/office/excel/2006/main">
          <x14:cfRule type="expression" priority="11" id="{AD874F61-DF5A-48A5-AB63-041C77D277A2}">
            <xm:f>SUM(Tabela!$P$32:$P$35)&lt;12</xm:f>
            <x14:dxf>
              <fill>
                <patternFill>
                  <bgColor theme="1"/>
                </patternFill>
              </fill>
            </x14:dxf>
          </x14:cfRule>
          <xm:sqref>C23:F23</xm:sqref>
        </x14:conditionalFormatting>
        <x14:conditionalFormatting xmlns:xm="http://schemas.microsoft.com/office/excel/2006/main">
          <x14:cfRule type="expression" priority="10" id="{D09D97AD-38AC-4348-BB41-E7EA72BB67AC}">
            <xm:f>SUM(Tabela!$P$40:$P$43)&lt;12</xm:f>
            <x14:dxf>
              <fill>
                <patternFill>
                  <bgColor theme="1"/>
                </patternFill>
              </fill>
            </x14:dxf>
          </x14:cfRule>
          <xm:sqref>C24:F24</xm:sqref>
        </x14:conditionalFormatting>
        <x14:conditionalFormatting xmlns:xm="http://schemas.microsoft.com/office/excel/2006/main">
          <x14:cfRule type="expression" priority="9" id="{ACA2B38A-8D3D-4628-894C-25A2AD44B208}">
            <xm:f>SUM(Tabela!$P$48:$P$51)&lt;12</xm:f>
            <x14:dxf>
              <fill>
                <patternFill>
                  <bgColor theme="1"/>
                </patternFill>
              </fill>
            </x14:dxf>
          </x14:cfRule>
          <xm:sqref>C25:F25</xm:sqref>
        </x14:conditionalFormatting>
        <x14:conditionalFormatting xmlns:xm="http://schemas.microsoft.com/office/excel/2006/main">
          <x14:cfRule type="expression" priority="8" id="{4C650F7B-C9F8-47A3-B22C-4FFF08BA5377}">
            <xm:f>SUM(Tabela!$P$56:$P$59)&lt;12</xm:f>
            <x14:dxf>
              <fill>
                <patternFill>
                  <bgColor theme="1"/>
                </patternFill>
              </fill>
            </x14:dxf>
          </x14:cfRule>
          <xm:sqref>C26:F26</xm:sqref>
        </x14:conditionalFormatting>
        <x14:conditionalFormatting xmlns:xm="http://schemas.microsoft.com/office/excel/2006/main">
          <x14:cfRule type="expression" priority="7" id="{E3F84819-FFC6-422D-8B1E-5A05C8850468}">
            <xm:f>SUM(Tabela!$P$64:$P$67)&lt;12</xm:f>
            <x14:dxf>
              <fill>
                <patternFill>
                  <bgColor theme="1"/>
                </patternFill>
              </fill>
            </x14:dxf>
          </x14:cfRule>
          <xm:sqref>C27:F27</xm:sqref>
        </x14:conditionalFormatting>
        <x14:conditionalFormatting xmlns:xm="http://schemas.microsoft.com/office/excel/2006/main">
          <x14:cfRule type="expression" priority="6" id="{E763D6DF-D2A0-4ED1-9B2C-DF6678DBBC51}">
            <xm:f>COUNTIF(Tabela!$G$71:$G$78,"")+COUNTIF(Tabela!$I$71:$I$78,"")&gt;0</xm:f>
            <x14:dxf>
              <fill>
                <patternFill>
                  <bgColor theme="1"/>
                </patternFill>
              </fill>
            </x14:dxf>
          </x14:cfRule>
          <xm:sqref>C29:F30</xm:sqref>
        </x14:conditionalFormatting>
        <x14:conditionalFormatting xmlns:xm="http://schemas.microsoft.com/office/excel/2006/main">
          <x14:cfRule type="expression" priority="5" id="{F0C325C2-A76F-4B44-BDCB-E5D00ED7C231}">
            <xm:f>COUNTIF(Tabela!$G$81:$G$84,"")+COUNTIF(Tabela!$I$81:$I$84,"")&gt;0</xm:f>
            <x14:dxf>
              <fill>
                <patternFill>
                  <bgColor theme="1"/>
                </patternFill>
              </fill>
            </x14:dxf>
          </x14:cfRule>
          <xm:sqref>C32:F32</xm:sqref>
        </x14:conditionalFormatting>
        <x14:conditionalFormatting xmlns:xm="http://schemas.microsoft.com/office/excel/2006/main">
          <x14:cfRule type="expression" priority="3" id="{5BFB7CAB-F69B-431A-A699-72138E7F9C38}">
            <xm:f>Tabela!$O$81=""</xm:f>
            <x14:dxf>
              <fill>
                <patternFill>
                  <bgColor theme="1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2" id="{74F6C43F-22B8-487A-A47D-CC4A63AE5CB8}">
            <xm:f>Tabela!$O$81=""</xm:f>
            <x14:dxf>
              <fill>
                <patternFill>
                  <bgColor theme="1"/>
                </patternFill>
              </fill>
            </x14:dxf>
          </x14:cfRule>
          <xm:sqref>D35</xm:sqref>
        </x14:conditionalFormatting>
        <x14:conditionalFormatting xmlns:xm="http://schemas.microsoft.com/office/excel/2006/main">
          <x14:cfRule type="expression" priority="1" id="{04CFED26-6621-4A74-8FFB-6F7633D1797B}">
            <xm:f>Tabela!$O$93=""</xm:f>
            <x14:dxf>
              <fill>
                <patternFill>
                  <bgColor theme="1"/>
                </patternFill>
              </fill>
            </x14:dxf>
          </x14:cfRule>
          <xm:sqref>E35:F35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C193-52BF-4CC2-8F9E-241BADA82A72}">
  <dimension ref="A1:O1000"/>
  <sheetViews>
    <sheetView topLeftCell="A2" workbookViewId="0">
      <selection activeCell="O1" sqref="O1"/>
    </sheetView>
  </sheetViews>
  <sheetFormatPr baseColWidth="10" defaultColWidth="12.5" defaultRowHeight="15" customHeight="1"/>
  <cols>
    <col min="1" max="1" width="7.83203125" style="321" bestFit="1" customWidth="1"/>
    <col min="2" max="2" width="14.33203125" style="321" bestFit="1" customWidth="1"/>
    <col min="3" max="3" width="13.33203125" style="321" bestFit="1" customWidth="1"/>
    <col min="4" max="4" width="9.83203125" style="321" bestFit="1" customWidth="1"/>
    <col min="5" max="5" width="10.1640625" style="321" bestFit="1" customWidth="1"/>
    <col min="6" max="6" width="8.6640625" style="321" bestFit="1" customWidth="1"/>
    <col min="7" max="7" width="9.5" style="321" bestFit="1" customWidth="1"/>
    <col min="8" max="8" width="12.1640625" style="321" bestFit="1" customWidth="1"/>
    <col min="9" max="9" width="14.33203125" style="321" bestFit="1" customWidth="1"/>
    <col min="10" max="10" width="13.33203125" style="321" bestFit="1" customWidth="1"/>
    <col min="11" max="11" width="10.1640625" style="321" bestFit="1" customWidth="1"/>
    <col min="12" max="12" width="12.1640625" style="321" bestFit="1" customWidth="1"/>
    <col min="13" max="14" width="14.83203125" style="321" bestFit="1" customWidth="1"/>
    <col min="15" max="15" width="14.33203125" style="321" bestFit="1" customWidth="1"/>
    <col min="16" max="26" width="8.5" style="321" customWidth="1"/>
    <col min="27" max="16384" width="12.5" style="321"/>
  </cols>
  <sheetData>
    <row r="1" spans="1:15" ht="12.75" customHeight="1" thickBot="1">
      <c r="A1" s="325" t="s">
        <v>30</v>
      </c>
      <c r="B1" s="325" t="s">
        <v>36</v>
      </c>
      <c r="C1" s="325" t="s">
        <v>37</v>
      </c>
      <c r="D1" s="325" t="s">
        <v>38</v>
      </c>
      <c r="E1" s="325" t="s">
        <v>39</v>
      </c>
      <c r="F1" s="325" t="s">
        <v>40</v>
      </c>
      <c r="G1" s="325" t="s">
        <v>41</v>
      </c>
      <c r="H1" s="325" t="s">
        <v>42</v>
      </c>
      <c r="I1" s="325" t="s">
        <v>196</v>
      </c>
      <c r="J1" s="325" t="s">
        <v>197</v>
      </c>
      <c r="K1" s="325" t="s">
        <v>198</v>
      </c>
      <c r="L1" s="325" t="s">
        <v>199</v>
      </c>
      <c r="M1" s="325" t="s">
        <v>200</v>
      </c>
      <c r="N1" s="325" t="s">
        <v>201</v>
      </c>
      <c r="O1" s="325" t="s">
        <v>202</v>
      </c>
    </row>
    <row r="2" spans="1:15" ht="12.75" customHeight="1">
      <c r="A2" s="322" t="s">
        <v>79</v>
      </c>
      <c r="B2" s="322" t="s">
        <v>84</v>
      </c>
      <c r="C2" s="322" t="s">
        <v>80</v>
      </c>
      <c r="D2" s="322" t="s">
        <v>128</v>
      </c>
      <c r="E2" s="322" t="s">
        <v>87</v>
      </c>
      <c r="F2" s="322" t="s">
        <v>76</v>
      </c>
      <c r="G2" s="322" t="s">
        <v>77</v>
      </c>
      <c r="H2" s="322" t="s">
        <v>97</v>
      </c>
      <c r="I2" s="322" t="s">
        <v>79</v>
      </c>
      <c r="J2" s="322" t="s">
        <v>80</v>
      </c>
      <c r="K2" s="322" t="s">
        <v>87</v>
      </c>
      <c r="L2" s="322" t="s">
        <v>77</v>
      </c>
      <c r="M2" s="322" t="s">
        <v>80</v>
      </c>
      <c r="N2" s="322" t="s">
        <v>87</v>
      </c>
      <c r="O2" s="322" t="s">
        <v>87</v>
      </c>
    </row>
    <row r="3" spans="1:15" ht="12.75" customHeight="1">
      <c r="A3" s="322" t="s">
        <v>91</v>
      </c>
      <c r="B3" s="322" t="s">
        <v>72</v>
      </c>
      <c r="C3" s="322" t="s">
        <v>73</v>
      </c>
      <c r="D3" s="322" t="s">
        <v>86</v>
      </c>
      <c r="E3" s="322" t="s">
        <v>129</v>
      </c>
      <c r="F3" s="322" t="s">
        <v>81</v>
      </c>
      <c r="G3" s="322" t="s">
        <v>96</v>
      </c>
      <c r="H3" s="322" t="s">
        <v>83</v>
      </c>
      <c r="I3" s="322" t="s">
        <v>84</v>
      </c>
      <c r="J3" s="322" t="s">
        <v>73</v>
      </c>
      <c r="K3" s="322" t="s">
        <v>76</v>
      </c>
      <c r="L3" s="322" t="s">
        <v>96</v>
      </c>
      <c r="M3" s="322" t="s">
        <v>73</v>
      </c>
      <c r="N3" s="322" t="s">
        <v>76</v>
      </c>
      <c r="O3" s="322" t="s">
        <v>80</v>
      </c>
    </row>
    <row r="4" spans="1:15" ht="12.75" customHeight="1">
      <c r="A4" s="322" t="s">
        <v>71</v>
      </c>
      <c r="B4" s="322" t="s">
        <v>203</v>
      </c>
      <c r="C4" s="322" t="s">
        <v>85</v>
      </c>
      <c r="D4" s="322" t="s">
        <v>74</v>
      </c>
      <c r="E4" s="322" t="s">
        <v>75</v>
      </c>
      <c r="F4" s="322" t="s">
        <v>95</v>
      </c>
      <c r="G4" s="322" t="s">
        <v>82</v>
      </c>
      <c r="H4" s="322" t="s">
        <v>78</v>
      </c>
      <c r="I4" s="322" t="s">
        <v>91</v>
      </c>
      <c r="J4" s="322" t="s">
        <v>128</v>
      </c>
      <c r="K4" s="322" t="s">
        <v>81</v>
      </c>
      <c r="L4" s="322" t="s">
        <v>97</v>
      </c>
      <c r="M4" s="322" t="s">
        <v>128</v>
      </c>
      <c r="N4" s="322" t="s">
        <v>77</v>
      </c>
      <c r="O4" s="322" t="s">
        <v>73</v>
      </c>
    </row>
    <row r="5" spans="1:15" ht="12.75" customHeight="1">
      <c r="A5" s="322" t="s">
        <v>126</v>
      </c>
      <c r="B5" s="322" t="s">
        <v>127</v>
      </c>
      <c r="C5" s="322" t="s">
        <v>92</v>
      </c>
      <c r="D5" s="322" t="s">
        <v>93</v>
      </c>
      <c r="E5" s="322" t="s">
        <v>94</v>
      </c>
      <c r="F5" s="322" t="s">
        <v>88</v>
      </c>
      <c r="G5" s="322" t="s">
        <v>89</v>
      </c>
      <c r="H5" s="322" t="s">
        <v>90</v>
      </c>
      <c r="I5" s="322" t="s">
        <v>72</v>
      </c>
      <c r="J5" s="322" t="s">
        <v>86</v>
      </c>
      <c r="K5" s="322" t="s">
        <v>129</v>
      </c>
      <c r="L5" s="322" t="s">
        <v>83</v>
      </c>
      <c r="M5" s="322" t="s">
        <v>86</v>
      </c>
      <c r="N5" s="322" t="s">
        <v>96</v>
      </c>
      <c r="O5" s="322" t="s">
        <v>128</v>
      </c>
    </row>
    <row r="6" spans="1:15" ht="12.75" customHeight="1">
      <c r="I6" s="322" t="s">
        <v>203</v>
      </c>
      <c r="J6" s="322" t="s">
        <v>74</v>
      </c>
      <c r="K6" s="322" t="s">
        <v>95</v>
      </c>
      <c r="L6" s="322" t="s">
        <v>78</v>
      </c>
      <c r="M6" s="322" t="s">
        <v>79</v>
      </c>
      <c r="N6" s="322" t="s">
        <v>81</v>
      </c>
      <c r="O6" s="322" t="s">
        <v>76</v>
      </c>
    </row>
    <row r="7" spans="1:15" ht="12.75" customHeight="1">
      <c r="I7" s="322" t="s">
        <v>127</v>
      </c>
      <c r="J7" s="322" t="s">
        <v>85</v>
      </c>
      <c r="K7" s="322" t="s">
        <v>75</v>
      </c>
      <c r="L7" s="322" t="s">
        <v>82</v>
      </c>
      <c r="M7" s="322" t="s">
        <v>84</v>
      </c>
      <c r="N7" s="322" t="s">
        <v>97</v>
      </c>
      <c r="O7" s="322" t="s">
        <v>77</v>
      </c>
    </row>
    <row r="8" spans="1:15" ht="12.75" customHeight="1">
      <c r="I8" s="322" t="s">
        <v>71</v>
      </c>
      <c r="J8" s="322" t="s">
        <v>92</v>
      </c>
      <c r="K8" s="322" t="s">
        <v>94</v>
      </c>
      <c r="L8" s="322" t="s">
        <v>89</v>
      </c>
      <c r="M8" s="322" t="s">
        <v>74</v>
      </c>
      <c r="N8" s="322" t="s">
        <v>129</v>
      </c>
      <c r="O8" s="322" t="s">
        <v>96</v>
      </c>
    </row>
    <row r="9" spans="1:15" ht="12.75" customHeight="1">
      <c r="I9" s="322" t="s">
        <v>126</v>
      </c>
      <c r="J9" s="322" t="s">
        <v>93</v>
      </c>
      <c r="K9" s="322" t="s">
        <v>88</v>
      </c>
      <c r="L9" s="322" t="s">
        <v>90</v>
      </c>
      <c r="M9" s="322" t="s">
        <v>91</v>
      </c>
      <c r="N9" s="322" t="s">
        <v>95</v>
      </c>
      <c r="O9" s="322" t="s">
        <v>81</v>
      </c>
    </row>
    <row r="10" spans="1:15" ht="12.75" customHeight="1">
      <c r="M10" s="322" t="s">
        <v>72</v>
      </c>
      <c r="N10" s="322" t="s">
        <v>75</v>
      </c>
      <c r="O10" s="322" t="s">
        <v>97</v>
      </c>
    </row>
    <row r="11" spans="1:15" ht="12.75" customHeight="1">
      <c r="M11" s="322" t="s">
        <v>203</v>
      </c>
      <c r="N11" s="322" t="s">
        <v>83</v>
      </c>
      <c r="O11" s="322" t="s">
        <v>129</v>
      </c>
    </row>
    <row r="12" spans="1:15" ht="12.75" customHeight="1">
      <c r="M12" s="322" t="s">
        <v>85</v>
      </c>
      <c r="N12" s="322" t="s">
        <v>94</v>
      </c>
      <c r="O12" s="322" t="s">
        <v>95</v>
      </c>
    </row>
    <row r="13" spans="1:15" ht="12.75" customHeight="1">
      <c r="M13" s="322" t="s">
        <v>127</v>
      </c>
      <c r="N13" s="322" t="s">
        <v>88</v>
      </c>
      <c r="O13" s="322" t="s">
        <v>86</v>
      </c>
    </row>
    <row r="14" spans="1:15" ht="12.75" customHeight="1">
      <c r="M14" s="322" t="s">
        <v>92</v>
      </c>
      <c r="N14" s="322" t="s">
        <v>78</v>
      </c>
      <c r="O14" s="322" t="s">
        <v>79</v>
      </c>
    </row>
    <row r="15" spans="1:15" ht="12.75" customHeight="1">
      <c r="M15" s="322" t="s">
        <v>71</v>
      </c>
      <c r="N15" s="322" t="s">
        <v>82</v>
      </c>
      <c r="O15" s="322" t="s">
        <v>75</v>
      </c>
    </row>
    <row r="16" spans="1:15" ht="12.75" customHeight="1">
      <c r="M16" s="322" t="s">
        <v>126</v>
      </c>
      <c r="N16" s="322" t="s">
        <v>89</v>
      </c>
      <c r="O16" s="322" t="s">
        <v>84</v>
      </c>
    </row>
    <row r="17" spans="13:15" ht="12.75" customHeight="1">
      <c r="M17" s="322" t="s">
        <v>93</v>
      </c>
      <c r="N17" s="322" t="s">
        <v>90</v>
      </c>
      <c r="O17" s="322" t="s">
        <v>74</v>
      </c>
    </row>
    <row r="18" spans="13:15" ht="12.75" customHeight="1">
      <c r="O18" s="322" t="s">
        <v>83</v>
      </c>
    </row>
    <row r="19" spans="13:15" ht="12.75" customHeight="1">
      <c r="O19" s="322" t="s">
        <v>91</v>
      </c>
    </row>
    <row r="20" spans="13:15" ht="12.75" customHeight="1">
      <c r="O20" s="322" t="s">
        <v>72</v>
      </c>
    </row>
    <row r="21" spans="13:15" ht="12.75" customHeight="1">
      <c r="O21" s="322" t="s">
        <v>203</v>
      </c>
    </row>
    <row r="22" spans="13:15" ht="12.75" customHeight="1">
      <c r="O22" s="322" t="s">
        <v>94</v>
      </c>
    </row>
    <row r="23" spans="13:15" ht="12.75" customHeight="1">
      <c r="O23" s="322" t="s">
        <v>88</v>
      </c>
    </row>
    <row r="24" spans="13:15" ht="12.75" customHeight="1">
      <c r="O24" s="322" t="s">
        <v>85</v>
      </c>
    </row>
    <row r="25" spans="13:15" ht="12.75" customHeight="1">
      <c r="O25" s="322" t="s">
        <v>127</v>
      </c>
    </row>
    <row r="26" spans="13:15" ht="12.75" customHeight="1">
      <c r="O26" s="322" t="s">
        <v>92</v>
      </c>
    </row>
    <row r="27" spans="13:15" ht="12.75" customHeight="1">
      <c r="O27" s="322" t="s">
        <v>78</v>
      </c>
    </row>
    <row r="28" spans="13:15" ht="12.75" customHeight="1">
      <c r="O28" s="322" t="s">
        <v>71</v>
      </c>
    </row>
    <row r="29" spans="13:15" ht="12.75" customHeight="1">
      <c r="O29" s="322" t="s">
        <v>126</v>
      </c>
    </row>
    <row r="30" spans="13:15" ht="12.75" customHeight="1">
      <c r="O30" s="322" t="s">
        <v>82</v>
      </c>
    </row>
    <row r="31" spans="13:15" ht="12.75" customHeight="1">
      <c r="O31" s="322" t="s">
        <v>89</v>
      </c>
    </row>
    <row r="32" spans="13:15" ht="12.75" customHeight="1">
      <c r="O32" s="322" t="s">
        <v>93</v>
      </c>
    </row>
    <row r="33" spans="15:15" ht="12.75" customHeight="1">
      <c r="O33" s="322" t="s">
        <v>90</v>
      </c>
    </row>
    <row r="34" spans="15:15" ht="12.75" customHeight="1"/>
    <row r="35" spans="15:15" ht="12.75" customHeight="1"/>
    <row r="36" spans="15:15" ht="12.75" customHeight="1"/>
    <row r="37" spans="15:15" ht="12.75" customHeight="1"/>
    <row r="38" spans="15:15" ht="12.75" customHeight="1"/>
    <row r="39" spans="15:15" ht="12.75" customHeight="1"/>
    <row r="40" spans="15:15" ht="12.75" customHeight="1"/>
    <row r="41" spans="15:15" ht="12.75" customHeight="1"/>
    <row r="42" spans="15:15" ht="12.75" customHeight="1"/>
    <row r="43" spans="15:15" ht="12.75" customHeight="1"/>
    <row r="44" spans="15:15" ht="12.75" customHeight="1"/>
    <row r="45" spans="15:15" ht="12.75" customHeight="1"/>
    <row r="46" spans="15:15" ht="12.75" customHeight="1"/>
    <row r="47" spans="15:15" ht="12.75" customHeight="1"/>
    <row r="48" spans="15:15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B2:B6"/>
  <sheetViews>
    <sheetView workbookViewId="0">
      <selection activeCell="F13" sqref="F13"/>
    </sheetView>
  </sheetViews>
  <sheetFormatPr baseColWidth="10" defaultColWidth="8.83203125" defaultRowHeight="13"/>
  <cols>
    <col min="2" max="2" width="75.5" customWidth="1"/>
  </cols>
  <sheetData>
    <row r="2" spans="2:2" ht="20">
      <c r="B2" s="46" t="s">
        <v>44</v>
      </c>
    </row>
    <row r="3" spans="2:2" ht="30.75" customHeight="1">
      <c r="B3" s="47" t="s">
        <v>45</v>
      </c>
    </row>
    <row r="4" spans="2:2" ht="27.75" customHeight="1">
      <c r="B4" s="48" t="s">
        <v>46</v>
      </c>
    </row>
    <row r="5" spans="2:2" ht="51" customHeight="1">
      <c r="B5" s="45" t="s">
        <v>67</v>
      </c>
    </row>
    <row r="6" spans="2:2" ht="16">
      <c r="B6" s="49" t="s">
        <v>47</v>
      </c>
    </row>
  </sheetData>
  <sheetProtection sheet="1" objects="1" scenarios="1" selectLockedCells="1" selectUnlockedCells="1"/>
  <hyperlinks>
    <hyperlink ref="B3" r:id="rId1" xr:uid="{00000000-0004-0000-0100-000000000000}"/>
    <hyperlink ref="B6" r:id="rId2" xr:uid="{00000000-0004-0000-0100-000001000000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CQ128"/>
  <sheetViews>
    <sheetView showGridLines="0" showOutlineSymbols="0" topLeftCell="BY56" zoomScale="110" zoomScaleNormal="110" workbookViewId="0">
      <selection activeCell="CS73" sqref="CS73"/>
    </sheetView>
  </sheetViews>
  <sheetFormatPr baseColWidth="10" defaultColWidth="9.1640625" defaultRowHeight="13"/>
  <cols>
    <col min="1" max="1" width="24.33203125" style="6" bestFit="1" customWidth="1"/>
    <col min="2" max="2" width="3" style="4" customWidth="1"/>
    <col min="3" max="3" width="1.83203125" style="4" customWidth="1"/>
    <col min="4" max="4" width="2.1640625" style="4" customWidth="1"/>
    <col min="5" max="5" width="1.83203125" style="4" customWidth="1"/>
    <col min="6" max="6" width="2" style="4" customWidth="1"/>
    <col min="7" max="7" width="3" style="4" customWidth="1"/>
    <col min="8" max="10" width="3.1640625" style="4" customWidth="1"/>
    <col min="11" max="11" width="15.83203125" style="10" customWidth="1"/>
    <col min="12" max="12" width="2.6640625" style="10" customWidth="1"/>
    <col min="13" max="13" width="2" style="10" customWidth="1"/>
    <col min="14" max="14" width="14.5" style="10" customWidth="1"/>
    <col min="15" max="15" width="2.33203125" style="10" customWidth="1"/>
    <col min="16" max="16" width="2.5" style="10" customWidth="1"/>
    <col min="17" max="17" width="12.83203125" style="10" customWidth="1"/>
    <col min="18" max="18" width="2.6640625" style="10" customWidth="1"/>
    <col min="19" max="19" width="3.1640625" style="10" customWidth="1"/>
    <col min="20" max="20" width="2.33203125" style="10" customWidth="1"/>
    <col min="21" max="21" width="13.83203125" style="10" customWidth="1"/>
    <col min="22" max="22" width="2.6640625" style="10" customWidth="1"/>
    <col min="23" max="23" width="3.1640625" style="10" customWidth="1"/>
    <col min="24" max="24" width="12" style="10" customWidth="1"/>
    <col min="25" max="25" width="2.6640625" style="10" customWidth="1"/>
    <col min="26" max="26" width="3.1640625" style="10" customWidth="1"/>
    <col min="27" max="27" width="2.83203125" style="10" customWidth="1"/>
    <col min="28" max="28" width="10.1640625" style="10" customWidth="1"/>
    <col min="29" max="29" width="2.6640625" style="10" customWidth="1"/>
    <col min="30" max="30" width="3.1640625" style="10" customWidth="1"/>
    <col min="31" max="31" width="3" style="10" customWidth="1"/>
    <col min="32" max="32" width="10.1640625" style="10" customWidth="1"/>
    <col min="33" max="33" width="2.6640625" style="10" customWidth="1"/>
    <col min="34" max="34" width="3.1640625" style="10" customWidth="1"/>
    <col min="35" max="35" width="3" style="10" customWidth="1"/>
    <col min="36" max="36" width="10.1640625" style="10" customWidth="1"/>
    <col min="37" max="37" width="2.6640625" style="10" customWidth="1"/>
    <col min="38" max="38" width="3.1640625" style="10" customWidth="1"/>
    <col min="39" max="39" width="3" style="10" customWidth="1"/>
    <col min="40" max="40" width="11.1640625" style="10" bestFit="1" customWidth="1"/>
    <col min="41" max="43" width="2.6640625" style="10" customWidth="1"/>
    <col min="44" max="44" width="10.83203125" style="10" customWidth="1"/>
    <col min="45" max="47" width="2.6640625" style="10" customWidth="1"/>
    <col min="48" max="48" width="9.1640625" style="10"/>
    <col min="49" max="51" width="2.6640625" style="10" customWidth="1"/>
    <col min="52" max="52" width="9.1640625" style="10"/>
    <col min="53" max="55" width="2.6640625" style="10" customWidth="1"/>
    <col min="56" max="56" width="9.1640625" style="10"/>
    <col min="57" max="59" width="2.6640625" style="10" customWidth="1"/>
    <col min="60" max="60" width="9.1640625" style="10"/>
    <col min="61" max="63" width="2.6640625" style="10" customWidth="1"/>
    <col min="64" max="64" width="9.1640625" style="10"/>
    <col min="65" max="67" width="2.6640625" style="10" customWidth="1"/>
    <col min="68" max="68" width="9.1640625" style="10"/>
    <col min="69" max="71" width="2.6640625" style="10" customWidth="1"/>
    <col min="72" max="72" width="9.1640625" style="10"/>
    <col min="73" max="75" width="2.6640625" style="10" customWidth="1"/>
    <col min="76" max="76" width="9.1640625" style="10"/>
    <col min="77" max="79" width="2.6640625" style="10" customWidth="1"/>
    <col min="80" max="80" width="9.1640625" style="10"/>
    <col min="81" max="83" width="2.6640625" style="10" customWidth="1"/>
    <col min="84" max="84" width="9.1640625" style="10"/>
    <col min="85" max="87" width="2.6640625" style="10" customWidth="1"/>
    <col min="88" max="88" width="9.1640625" style="10"/>
    <col min="89" max="92" width="2.6640625" style="10" customWidth="1"/>
    <col min="93" max="93" width="9.1640625" style="10"/>
    <col min="94" max="94" width="5.5" style="10" customWidth="1"/>
    <col min="95" max="16384" width="9.1640625" style="10"/>
  </cols>
  <sheetData>
    <row r="1" spans="1:47">
      <c r="A1" s="106" t="s">
        <v>0</v>
      </c>
      <c r="B1" s="125"/>
      <c r="C1" s="104"/>
      <c r="D1" s="104"/>
      <c r="E1" s="104"/>
      <c r="F1" s="104"/>
      <c r="G1" s="108"/>
      <c r="H1" s="109">
        <v>2022</v>
      </c>
      <c r="I1" s="107"/>
      <c r="J1" s="105"/>
      <c r="K1" s="110">
        <v>2022</v>
      </c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214"/>
      <c r="AP1" s="215"/>
      <c r="AQ1" s="215"/>
      <c r="AS1" s="12"/>
      <c r="AT1" s="12"/>
      <c r="AU1" s="12"/>
    </row>
    <row r="2" spans="1:47">
      <c r="A2" s="5"/>
      <c r="B2" s="7"/>
      <c r="C2" s="7"/>
      <c r="D2" s="7"/>
      <c r="E2" s="7"/>
      <c r="F2" s="7"/>
      <c r="G2" s="7"/>
      <c r="H2" s="7"/>
      <c r="I2" s="7"/>
      <c r="J2" s="7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2"/>
      <c r="AS2" s="12"/>
      <c r="AT2" s="12"/>
      <c r="AU2" s="12"/>
    </row>
    <row r="3" spans="1:47">
      <c r="A3" s="5"/>
      <c r="B3" s="417" t="s">
        <v>30</v>
      </c>
      <c r="C3" s="417"/>
      <c r="D3" s="417"/>
      <c r="E3" s="417"/>
      <c r="F3" s="417"/>
      <c r="G3" s="417"/>
      <c r="H3" s="417"/>
      <c r="I3" s="417"/>
      <c r="J3" s="7"/>
      <c r="K3" s="11" t="s">
        <v>31</v>
      </c>
      <c r="L3" s="11"/>
      <c r="M3" s="11"/>
      <c r="N3" s="11" t="s">
        <v>32</v>
      </c>
      <c r="O3" s="11"/>
      <c r="P3" s="11"/>
      <c r="Q3" s="11" t="s">
        <v>33</v>
      </c>
      <c r="R3" s="11"/>
      <c r="S3" s="11"/>
      <c r="T3" s="11"/>
      <c r="U3" s="11" t="s">
        <v>33</v>
      </c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2"/>
      <c r="AS3" s="12"/>
      <c r="AT3" s="12"/>
      <c r="AU3" s="12"/>
    </row>
    <row r="4" spans="1:47">
      <c r="A4" s="37" t="s">
        <v>34</v>
      </c>
      <c r="B4" s="38" t="s">
        <v>4</v>
      </c>
      <c r="C4" s="39" t="s">
        <v>5</v>
      </c>
      <c r="D4" s="39" t="s">
        <v>6</v>
      </c>
      <c r="E4" s="39" t="s">
        <v>7</v>
      </c>
      <c r="F4" s="39" t="s">
        <v>8</v>
      </c>
      <c r="G4" s="39" t="s">
        <v>9</v>
      </c>
      <c r="H4" s="39" t="s">
        <v>10</v>
      </c>
      <c r="I4" s="39" t="s">
        <v>11</v>
      </c>
      <c r="J4" s="14"/>
      <c r="K4" s="11"/>
      <c r="L4" s="11" t="s">
        <v>4</v>
      </c>
      <c r="M4" s="11"/>
      <c r="N4" s="11"/>
      <c r="O4" s="11" t="s">
        <v>35</v>
      </c>
      <c r="P4" s="11"/>
      <c r="Q4" s="11"/>
      <c r="R4" s="11" t="s">
        <v>4</v>
      </c>
      <c r="S4" s="11" t="s">
        <v>11</v>
      </c>
      <c r="T4" s="11"/>
      <c r="U4" s="11"/>
      <c r="V4" s="11" t="s">
        <v>4</v>
      </c>
      <c r="W4" s="11" t="s">
        <v>11</v>
      </c>
      <c r="X4" s="11"/>
      <c r="Y4" s="11" t="s">
        <v>4</v>
      </c>
      <c r="Z4" s="11" t="s">
        <v>11</v>
      </c>
      <c r="AA4" s="11"/>
      <c r="AB4" s="11"/>
      <c r="AC4" s="11" t="s">
        <v>4</v>
      </c>
      <c r="AD4" s="11" t="s">
        <v>11</v>
      </c>
      <c r="AE4" s="11" t="s">
        <v>9</v>
      </c>
      <c r="AF4" s="11"/>
      <c r="AG4" s="11" t="s">
        <v>4</v>
      </c>
      <c r="AH4" s="11" t="s">
        <v>11</v>
      </c>
      <c r="AI4" s="11" t="s">
        <v>9</v>
      </c>
      <c r="AJ4" s="11"/>
      <c r="AK4" s="11" t="s">
        <v>4</v>
      </c>
      <c r="AL4" s="11" t="s">
        <v>11</v>
      </c>
      <c r="AM4" s="11" t="s">
        <v>9</v>
      </c>
      <c r="AN4" s="11"/>
      <c r="AO4" s="213" t="s">
        <v>4</v>
      </c>
      <c r="AP4" s="213" t="s">
        <v>11</v>
      </c>
      <c r="AQ4" s="213" t="s">
        <v>9</v>
      </c>
      <c r="AR4" s="12"/>
      <c r="AS4" s="12"/>
      <c r="AT4" s="12"/>
      <c r="AU4" s="12"/>
    </row>
    <row r="5" spans="1:47">
      <c r="A5" s="40" t="str">
        <f>time!A1</f>
        <v>Qatar</v>
      </c>
      <c r="B5" s="41">
        <f>IF(Copa=FIFA,SUM(D5*3)+E5,0)</f>
        <v>2</v>
      </c>
      <c r="C5" s="42">
        <f>COUNT(Tabela!G7,Tabela!G8,Tabela!I10)</f>
        <v>3</v>
      </c>
      <c r="D5" s="42">
        <f>SUM(IF(Tabela!$G$7&gt;Tabela!$I$7,COUNT(Tabela!$G$7)),IF(Tabela!$G$8&gt;Tabela!$I$8,COUNT(Tabela!$G$8)),IF(Tabela!$I$10&gt;Tabela!$G$10,COUNT(Tabela!$I$10)))</f>
        <v>0</v>
      </c>
      <c r="E5" s="42">
        <f>SUM(IF(Tabela!$G$7=Tabela!$I$7,COUNT(Tabela!$G$7)),IF(Tabela!$G$8=Tabela!$I$8,COUNT(Tabela!$G$8)),IF(Tabela!$I$10=Tabela!$G$10,COUNT(Tabela!$G$10)))</f>
        <v>2</v>
      </c>
      <c r="F5" s="42">
        <f>SUM(IF(Tabela!$G$7&lt;Tabela!$I$7,COUNT(Tabela!$G$7)),IF(Tabela!$G$8&lt;Tabela!$I$8,COUNT(Tabela!$G$8)),IF(Tabela!$I$10&lt;Tabela!$G$10,COUNT(Tabela!$G$10)))</f>
        <v>1</v>
      </c>
      <c r="G5" s="42">
        <f>SUM(Tabela!G7+Tabela!G8+Tabela!I10)</f>
        <v>3</v>
      </c>
      <c r="H5" s="42">
        <f>SUM(Tabela!I7+Tabela!I8+Tabela!G10)</f>
        <v>4</v>
      </c>
      <c r="I5" s="42">
        <f>IF(BR20I4=Tabela!C2,SUM(G5-H5),"X")</f>
        <v>-1</v>
      </c>
      <c r="J5" s="13"/>
      <c r="K5" s="11" t="str">
        <f>IF($B5&gt;=$B6,$A5,$A6)</f>
        <v>Equador</v>
      </c>
      <c r="L5" s="11">
        <f>VLOOKUP(K5,$A$5:$I$8,2,FALSE)</f>
        <v>4</v>
      </c>
      <c r="M5" s="11"/>
      <c r="N5" s="11" t="str">
        <f>IF(L5&gt;=L7,K5,K7)</f>
        <v>Holanda</v>
      </c>
      <c r="O5" s="11">
        <f>VLOOKUP(N5,$A$5:$I$8,2,FALSE)</f>
        <v>9</v>
      </c>
      <c r="P5" s="11"/>
      <c r="Q5" s="11" t="str">
        <f>IF(O5&gt;=O8,N5,N8)</f>
        <v>Holanda</v>
      </c>
      <c r="R5" s="11">
        <f>VLOOKUP(Q5,$A$5:$I$8,2,FALSE)</f>
        <v>9</v>
      </c>
      <c r="S5" s="11">
        <f>VLOOKUP(Q5,$A$5:$I$8,9,FALSE)</f>
        <v>5</v>
      </c>
      <c r="T5" s="11"/>
      <c r="U5" s="11" t="str">
        <f>IF(AND(R5=R6,S6&gt;S5),Q6,Q5)</f>
        <v>Holanda</v>
      </c>
      <c r="V5" s="11">
        <f>VLOOKUP(U5,$A$5:$I$8,2,FALSE)</f>
        <v>9</v>
      </c>
      <c r="W5" s="11">
        <f>VLOOKUP(U5,$A$5:$I$8,9,FALSE)</f>
        <v>5</v>
      </c>
      <c r="X5" s="11" t="str">
        <f>IF(AND(V5=V7,W7&gt;W5),U7,U5)</f>
        <v>Holanda</v>
      </c>
      <c r="Y5" s="11">
        <f>VLOOKUP(X5,$A$5:$I$8,2,FALSE)</f>
        <v>9</v>
      </c>
      <c r="Z5" s="11">
        <f>VLOOKUP(X5,$A$5:$I$8,9,FALSE)</f>
        <v>5</v>
      </c>
      <c r="AA5" s="11"/>
      <c r="AB5" s="11" t="str">
        <f>IF(AND(Y5=Y8,Z8&gt;Z5),X8,X5)</f>
        <v>Holanda</v>
      </c>
      <c r="AC5" s="11">
        <f>VLOOKUP(AB5,$A$5:$I$8,2,FALSE)</f>
        <v>9</v>
      </c>
      <c r="AD5" s="11">
        <f>VLOOKUP(AB5,$A$5:$I$8,9,FALSE)</f>
        <v>5</v>
      </c>
      <c r="AE5" s="11">
        <f>VLOOKUP(AB5,$A$5:$I$8,7,FALSE)</f>
        <v>6</v>
      </c>
      <c r="AF5" s="11" t="str">
        <f>IF(AND(AC5=AC6,AD5=AD6,AE6&gt;AE5),AB6,AB5)</f>
        <v>Holanda</v>
      </c>
      <c r="AG5" s="11">
        <f>VLOOKUP(AF5,$A$5:$I$8,2,FALSE)</f>
        <v>9</v>
      </c>
      <c r="AH5" s="11">
        <f>VLOOKUP(AF5,$A$5:$I$8,9,FALSE)</f>
        <v>5</v>
      </c>
      <c r="AI5" s="11">
        <f>VLOOKUP(AF5,$A$5:$I$8,7,FALSE)</f>
        <v>6</v>
      </c>
      <c r="AJ5" s="11" t="str">
        <f>IF(AND(AG5=AG7,AH5=AH7,AI7&gt;AI5),AF7,AF5)</f>
        <v>Holanda</v>
      </c>
      <c r="AK5" s="11">
        <f>VLOOKUP(AJ5,$A$5:$I$8,2,FALSE)</f>
        <v>9</v>
      </c>
      <c r="AL5" s="11">
        <f>VLOOKUP(AJ5,$A$5:$I$8,9,FALSE)</f>
        <v>5</v>
      </c>
      <c r="AM5" s="11">
        <f>VLOOKUP(AJ5,$A$5:$I$8,7,FALSE)</f>
        <v>6</v>
      </c>
      <c r="AN5" s="11" t="str">
        <f>IF(AND(AK5=AK8,AL5=AL8,AM8&gt;AM5),AJ8,AJ5)</f>
        <v>Holanda</v>
      </c>
      <c r="AO5" s="213">
        <f>VLOOKUP(AN5,$A$5:$I$8,2,FALSE)</f>
        <v>9</v>
      </c>
      <c r="AP5" s="213">
        <f>IF(Tabela!N2="www.guiadecompra.com",VLOOKUP(AN5,$A$5:$I$8,9,FALSE),0)</f>
        <v>5</v>
      </c>
      <c r="AQ5" s="213">
        <f>VLOOKUP(AN5,$A$5:$I$8,7,FALSE)</f>
        <v>6</v>
      </c>
      <c r="AR5" s="12"/>
      <c r="AS5" s="12"/>
      <c r="AT5" s="12"/>
      <c r="AU5" s="12"/>
    </row>
    <row r="6" spans="1:47">
      <c r="A6" s="40" t="str">
        <f>time!A2</f>
        <v>Equador</v>
      </c>
      <c r="B6" s="41">
        <f>IF(Copa=FIFA,SUM(D6*3)+E6,0)</f>
        <v>4</v>
      </c>
      <c r="C6" s="42">
        <f>COUNT(Tabela!I7,Tabela!I9,Tabela!G11)</f>
        <v>3</v>
      </c>
      <c r="D6" s="42">
        <f>SUM(IF(Tabela!$I$7&gt;Tabela!$G$7,COUNT(Tabela!$I$7)),IF(Tabela!$I$9&gt;Tabela!$G$9,COUNT(Tabela!$I$9)),IF(Tabela!$G$11&gt;Tabela!$I$11,COUNT(Tabela!$G$11)))</f>
        <v>1</v>
      </c>
      <c r="E6" s="42">
        <f>SUM(IF(Tabela!$I$7=Tabela!$G$7,COUNT(Tabela!$I$7)),IF(Tabela!$I$9=Tabela!$G$9,COUNT(Tabela!$I$9)),IF(Tabela!$G$11=Tabela!$I$11,COUNT(Tabela!$G$11)))</f>
        <v>1</v>
      </c>
      <c r="F6" s="42">
        <f>SUM(IF(Tabela!$I$7&lt;Tabela!$G$7,COUNT(Tabela!$I$7)),IF(Tabela!$I$9&lt;Tabela!$G$9,COUNT(Tabela!$I$9)),IF(Tabela!$G$11&lt;Tabela!$I$11,COUNT(Tabela!$G$11)))</f>
        <v>1</v>
      </c>
      <c r="G6" s="42">
        <f>SUM(Tabela!I7+Tabela!I9+Tabela!G11)</f>
        <v>3</v>
      </c>
      <c r="H6" s="42">
        <f>SUM(Tabela!G7+Tabela!G9+Tabela!I11)</f>
        <v>4</v>
      </c>
      <c r="I6" s="42">
        <f>IF(BR20I4=Tabela!C2,SUM(G6-H6),"X")</f>
        <v>-1</v>
      </c>
      <c r="J6" s="13"/>
      <c r="K6" s="11" t="str">
        <f>IF(B6&lt;=B5,A6,A5)</f>
        <v>Qatar</v>
      </c>
      <c r="L6" s="11">
        <f>VLOOKUP(K6,$A$5:$I$8,2,FALSE)</f>
        <v>2</v>
      </c>
      <c r="M6" s="11"/>
      <c r="N6" s="11" t="str">
        <f>IF(L6&gt;=L8,K6,K8)</f>
        <v>Qatar</v>
      </c>
      <c r="O6" s="11">
        <f>VLOOKUP(N6,$A$5:$I$8,2,FALSE)</f>
        <v>2</v>
      </c>
      <c r="P6" s="11"/>
      <c r="Q6" s="11" t="str">
        <f>IF(O6&gt;=O7,N6,N7)</f>
        <v>Equador</v>
      </c>
      <c r="R6" s="11">
        <f>VLOOKUP(Q6,$A$5:$I$8,2,FALSE)</f>
        <v>4</v>
      </c>
      <c r="S6" s="11">
        <f>VLOOKUP(Q6,$A$5:$I$8,9,FALSE)</f>
        <v>-1</v>
      </c>
      <c r="T6" s="11"/>
      <c r="U6" s="11" t="str">
        <f>IF(AND(R5=R6,S6&gt;S5),Q5,Q6)</f>
        <v>Equador</v>
      </c>
      <c r="V6" s="11">
        <f>VLOOKUP(U6,$A$5:$I$8,2,FALSE)</f>
        <v>4</v>
      </c>
      <c r="W6" s="11">
        <f>VLOOKUP(U6,$A$5:$I$8,9,FALSE)</f>
        <v>-1</v>
      </c>
      <c r="X6" s="11" t="str">
        <f>IF(AND(V6=V8,W8&gt;W6),U8,U6)</f>
        <v>Equador</v>
      </c>
      <c r="Y6" s="11">
        <f>VLOOKUP(X6,$A$5:$I$8,2,FALSE)</f>
        <v>4</v>
      </c>
      <c r="Z6" s="11">
        <f>VLOOKUP(X6,$A$5:$I$8,9,FALSE)</f>
        <v>-1</v>
      </c>
      <c r="AA6" s="11"/>
      <c r="AB6" s="11" t="str">
        <f>IF(AND(Y6=Y7,Z7&gt;Z6),X7,X6)</f>
        <v>Equador</v>
      </c>
      <c r="AC6" s="11">
        <f>VLOOKUP(AB6,$A$5:$I$8,2,FALSE)</f>
        <v>4</v>
      </c>
      <c r="AD6" s="11">
        <f>VLOOKUP(AB6,$A$5:$I$8,9,FALSE)</f>
        <v>-1</v>
      </c>
      <c r="AE6" s="11">
        <f>VLOOKUP(AB6,$A$5:$I$8,7,FALSE)</f>
        <v>3</v>
      </c>
      <c r="AF6" s="11" t="str">
        <f>IF(AND(AC6=AC5,AD6=AD5,AE6&gt;AE5),AB5,AB6)</f>
        <v>Equador</v>
      </c>
      <c r="AG6" s="11">
        <f>VLOOKUP(AF6,$A$5:$I$8,2,FALSE)</f>
        <v>4</v>
      </c>
      <c r="AH6" s="11">
        <f>VLOOKUP(AF6,$A$5:$I$8,9,FALSE)</f>
        <v>-1</v>
      </c>
      <c r="AI6" s="11">
        <f>VLOOKUP(AF6,$A$5:$I$8,7,FALSE)</f>
        <v>3</v>
      </c>
      <c r="AJ6" s="11" t="str">
        <f>IF(AND(AG6=AG8,AH6=AH8,AI8&gt;AI6),AF8,AF6)</f>
        <v>Equador</v>
      </c>
      <c r="AK6" s="11">
        <f>VLOOKUP(AJ6,$A$5:$I$8,2,FALSE)</f>
        <v>4</v>
      </c>
      <c r="AL6" s="11">
        <f>VLOOKUP(AJ6,$A$5:$I$8,9,FALSE)</f>
        <v>-1</v>
      </c>
      <c r="AM6" s="11">
        <f>VLOOKUP(AJ6,$A$5:$I$8,7,FALSE)</f>
        <v>3</v>
      </c>
      <c r="AN6" s="11" t="str">
        <f>IF(AND(AK6=AK7,AL6=AL7,AM7&gt;AM6),AJ7,AJ6)</f>
        <v>Equador</v>
      </c>
      <c r="AO6" s="213">
        <f>VLOOKUP(AN6,$A$5:$I$8,2,FALSE)</f>
        <v>4</v>
      </c>
      <c r="AP6" s="213">
        <f>IF(Tabela!N2="www.guiadecompra.com",VLOOKUP(AN6,$A$5:$I$8,9,FALSE),0)</f>
        <v>-1</v>
      </c>
      <c r="AQ6" s="213">
        <f>VLOOKUP(AN6,$A$5:$I$8,7,FALSE)</f>
        <v>3</v>
      </c>
      <c r="AR6" s="12"/>
      <c r="AS6" s="12"/>
      <c r="AT6" s="12"/>
      <c r="AU6" s="12"/>
    </row>
    <row r="7" spans="1:47">
      <c r="A7" s="40" t="str">
        <f>time!A3</f>
        <v>Senegal</v>
      </c>
      <c r="B7" s="41">
        <f>IF(Copa=FIFA,SUM(D7*3)+E7,0)</f>
        <v>1</v>
      </c>
      <c r="C7" s="42">
        <f>COUNT(Tabela!G6,Tabela!I8,Tabela!I11)</f>
        <v>3</v>
      </c>
      <c r="D7" s="42">
        <f>SUM(IF(Tabela!$G$6&gt;Tabela!$I$6,COUNT(Tabela!$G$6)),IF(Tabela!$I$8&gt;Tabela!$G$8,COUNT(Tabela!$I$8)),IF(Tabela!$I$11&gt;Tabela!$G$11,COUNT(Tabela!$I$11)))</f>
        <v>0</v>
      </c>
      <c r="E7" s="42">
        <f>SUM(IF(Tabela!$G$6=Tabela!$I$6,COUNT(Tabela!$G$6)),IF(Tabela!$I$8=Tabela!$G$8,COUNT(Tabela!$I$8)),IF(Tabela!$I$11=Tabela!$G$11,COUNT(Tabela!$I$11)))</f>
        <v>1</v>
      </c>
      <c r="F7" s="42">
        <f>SUM(IF(Tabela!$G$6&lt;Tabela!$I$6,COUNT(Tabela!$G$6)),IF(Tabela!$I$8&lt;Tabela!$G$8,COUNT(Tabela!$I$8)),IF(Tabela!$I$11&lt;Tabela!$G$11,COUNT(Tabela!$I$11)))</f>
        <v>2</v>
      </c>
      <c r="G7" s="42">
        <f>SUM(Tabela!G6+Tabela!I8+Tabela!I11)</f>
        <v>2</v>
      </c>
      <c r="H7" s="42">
        <f>SUM(Tabela!I6+Tabela!G8+Tabela!G11)</f>
        <v>5</v>
      </c>
      <c r="I7" s="42">
        <f>IF(BR20I4=Tabela!C2,SUM(G7-H7),"X")</f>
        <v>-3</v>
      </c>
      <c r="J7" s="13"/>
      <c r="K7" s="11" t="str">
        <f>IF(B7&gt;=B8,A7,A8)</f>
        <v>Holanda</v>
      </c>
      <c r="L7" s="11">
        <f>VLOOKUP(K7,$A$5:$I$8,2,FALSE)</f>
        <v>9</v>
      </c>
      <c r="M7" s="11"/>
      <c r="N7" s="11" t="str">
        <f>IF(L7&lt;=L5,K7,K5)</f>
        <v>Equador</v>
      </c>
      <c r="O7" s="11">
        <f>VLOOKUP(N7,$A$5:$I$8,2,FALSE)</f>
        <v>4</v>
      </c>
      <c r="P7" s="11"/>
      <c r="Q7" s="11" t="str">
        <f>IF(O7&lt;=O6,N7,N6)</f>
        <v>Qatar</v>
      </c>
      <c r="R7" s="11">
        <f>VLOOKUP(Q7,$A$5:$I$8,2,FALSE)</f>
        <v>2</v>
      </c>
      <c r="S7" s="11">
        <f>VLOOKUP(Q7,$A$5:$I$8,9,FALSE)</f>
        <v>-1</v>
      </c>
      <c r="T7" s="11"/>
      <c r="U7" s="11" t="str">
        <f>IF(AND(R7=R8,S8&gt;S7),Q8,Q7)</f>
        <v>Qatar</v>
      </c>
      <c r="V7" s="11">
        <f>VLOOKUP(U7,$A$5:$I$8,2,FALSE)</f>
        <v>2</v>
      </c>
      <c r="W7" s="11">
        <f>VLOOKUP(U7,$A$5:$I$8,9,FALSE)</f>
        <v>-1</v>
      </c>
      <c r="X7" s="11" t="str">
        <f>IF(AND(V5=V7,W7&gt;W5),U5,U7)</f>
        <v>Qatar</v>
      </c>
      <c r="Y7" s="11">
        <f>VLOOKUP(X7,$A$5:$I$8,2,FALSE)</f>
        <v>2</v>
      </c>
      <c r="Z7" s="11">
        <f>VLOOKUP(X7,$A$5:$I$8,9,FALSE)</f>
        <v>-1</v>
      </c>
      <c r="AA7" s="11"/>
      <c r="AB7" s="11" t="str">
        <f>IF(AND(Y7=Y6,Z7&gt;Z6),X6,X7)</f>
        <v>Qatar</v>
      </c>
      <c r="AC7" s="11">
        <f>VLOOKUP(AB7,$A$5:$I$8,2,FALSE)</f>
        <v>2</v>
      </c>
      <c r="AD7" s="11">
        <f>VLOOKUP(AB7,$A$5:$I$8,9,FALSE)</f>
        <v>-1</v>
      </c>
      <c r="AE7" s="11">
        <f>VLOOKUP(AB7,$A$5:$I$8,7,FALSE)</f>
        <v>3</v>
      </c>
      <c r="AF7" s="11" t="str">
        <f>IF(AND(AC7=AC8,AD7=AD8,AE8&gt;AE7),AB8,AB7)</f>
        <v>Qatar</v>
      </c>
      <c r="AG7" s="11">
        <f>VLOOKUP(AF7,$A$5:$I$8,2,FALSE)</f>
        <v>2</v>
      </c>
      <c r="AH7" s="11">
        <f>VLOOKUP(AF7,$A$5:$I$8,9,FALSE)</f>
        <v>-1</v>
      </c>
      <c r="AI7" s="11">
        <f>VLOOKUP(AF7,$A$5:$I$8,7,FALSE)</f>
        <v>3</v>
      </c>
      <c r="AJ7" s="11" t="str">
        <f>IF(AND(AG7=AG5,AH7=AH5,AI7&gt;AI5),AF5,AF7)</f>
        <v>Qatar</v>
      </c>
      <c r="AK7" s="11">
        <f>VLOOKUP(AJ7,$A$5:$I$8,2,FALSE)</f>
        <v>2</v>
      </c>
      <c r="AL7" s="11">
        <f>VLOOKUP(AJ7,$A$5:$I$8,9,FALSE)</f>
        <v>-1</v>
      </c>
      <c r="AM7" s="11">
        <f>VLOOKUP(AJ7,$A$5:$I$8,7,FALSE)</f>
        <v>3</v>
      </c>
      <c r="AN7" s="11" t="str">
        <f>IF(AND(AK7=AK6,AL7=AL6,AM7&gt;AM6),AJ6,AJ7)</f>
        <v>Qatar</v>
      </c>
      <c r="AO7" s="213">
        <f>VLOOKUP(AN7,$A$5:$I$8,2,FALSE)</f>
        <v>2</v>
      </c>
      <c r="AP7" s="213">
        <f>IF(Tabela!N2="www.guiadecompra.com",VLOOKUP(AN7,$A$5:$I$8,9,FALSE),0)</f>
        <v>-1</v>
      </c>
      <c r="AQ7" s="213">
        <f>VLOOKUP(AN7,$A$5:$I$8,7,FALSE)</f>
        <v>3</v>
      </c>
      <c r="AR7" s="12"/>
      <c r="AS7" s="12"/>
      <c r="AT7" s="12"/>
      <c r="AU7" s="12"/>
    </row>
    <row r="8" spans="1:47">
      <c r="A8" s="40" t="str">
        <f>time!A4</f>
        <v>Holanda</v>
      </c>
      <c r="B8" s="41">
        <f>IF(Copa=FIFA,SUM(D8*3)+E8,0)</f>
        <v>9</v>
      </c>
      <c r="C8" s="42">
        <f>COUNT(Tabela!I6,Tabela!G9,Tabela!G10)</f>
        <v>3</v>
      </c>
      <c r="D8" s="42">
        <f>SUM(IF(Tabela!$I$6&gt;Tabela!$G$6,COUNT(Tabela!$I$6)),IF(Tabela!$G$9&gt;Tabela!$I$9,COUNT(Tabela!$G$9)),IF(Tabela!$G$10&gt;Tabela!$I$10,COUNT(Tabela!$G$10)))</f>
        <v>3</v>
      </c>
      <c r="E8" s="42">
        <f>SUM(IF(Tabela!$I$6=Tabela!$G$6,COUNT(Tabela!$I$6)),IF(Tabela!$G$9=Tabela!$I$9,COUNT(Tabela!$G$9)),IF(Tabela!$G$10=Tabela!$I$10,COUNT(Tabela!$G$10)))</f>
        <v>0</v>
      </c>
      <c r="F8" s="42">
        <f>SUM(IF(Tabela!$I$6&lt;Tabela!$G$6,COUNT(Tabela!$I$6)),IF(Tabela!$G$9&lt;Tabela!$I$9,COUNT(Tabela!$G$9)),IF(Tabela!$G$10&lt;Tabela!$I$10,COUNT(Tabela!$G$10)))</f>
        <v>0</v>
      </c>
      <c r="G8" s="42">
        <f>SUM(Tabela!I6+Tabela!G9+Tabela!G10)</f>
        <v>6</v>
      </c>
      <c r="H8" s="42">
        <f>SUM(Tabela!G6+Tabela!I9+Tabela!I10)</f>
        <v>1</v>
      </c>
      <c r="I8" s="42">
        <f>IF(BR20I4=Tabela!C2,SUM(G8-H8),"X")</f>
        <v>5</v>
      </c>
      <c r="J8" s="13"/>
      <c r="K8" s="11" t="str">
        <f>IF(B8&lt;=B7,A8,A7)</f>
        <v>Senegal</v>
      </c>
      <c r="L8" s="11">
        <f>VLOOKUP(K8,$A$5:$I$8,2,FALSE)</f>
        <v>1</v>
      </c>
      <c r="M8" s="11"/>
      <c r="N8" s="11" t="str">
        <f>IF(L8&lt;=L6,K8,K6)</f>
        <v>Senegal</v>
      </c>
      <c r="O8" s="11">
        <f>VLOOKUP(N8,$A$5:$I$8,2,FALSE)</f>
        <v>1</v>
      </c>
      <c r="P8" s="11"/>
      <c r="Q8" s="11" t="str">
        <f>IF(O8&lt;=O5,N8,N5)</f>
        <v>Senegal</v>
      </c>
      <c r="R8" s="11">
        <f>VLOOKUP(Q8,$A$5:$I$8,2,FALSE)</f>
        <v>1</v>
      </c>
      <c r="S8" s="11">
        <f>VLOOKUP(Q8,$A$5:$I$8,9,FALSE)</f>
        <v>-3</v>
      </c>
      <c r="T8" s="11"/>
      <c r="U8" s="11" t="str">
        <f>IF(AND(R7=R8,S8&gt;S7),Q7,Q8)</f>
        <v>Senegal</v>
      </c>
      <c r="V8" s="11">
        <f>VLOOKUP(U8,$A$5:$I$8,2,FALSE)</f>
        <v>1</v>
      </c>
      <c r="W8" s="11">
        <f>VLOOKUP(U8,$A$5:$I$8,9,FALSE)</f>
        <v>-3</v>
      </c>
      <c r="X8" s="11" t="str">
        <f>IF(AND(V6=V8,W8&gt;W6),U6,U8)</f>
        <v>Senegal</v>
      </c>
      <c r="Y8" s="11">
        <f>VLOOKUP(X8,$A$5:$I$8,2,FALSE)</f>
        <v>1</v>
      </c>
      <c r="Z8" s="11">
        <f>VLOOKUP(X8,$A$5:$I$8,9,FALSE)</f>
        <v>-3</v>
      </c>
      <c r="AA8" s="11"/>
      <c r="AB8" s="11" t="str">
        <f>IF(AND(Y8=Y5,Z8&gt;Z5),X5,X8)</f>
        <v>Senegal</v>
      </c>
      <c r="AC8" s="11">
        <f>VLOOKUP(AB8,$A$5:$I$8,2,FALSE)</f>
        <v>1</v>
      </c>
      <c r="AD8" s="11">
        <f>VLOOKUP(AB8,$A$5:$I$8,9,FALSE)</f>
        <v>-3</v>
      </c>
      <c r="AE8" s="11">
        <f>VLOOKUP(AB8,$A$5:$I$8,7,FALSE)</f>
        <v>2</v>
      </c>
      <c r="AF8" s="11" t="str">
        <f>IF(AND(AC8=AC7,AD8=AD7,AE8&gt;AE7),X7,X8)</f>
        <v>Senegal</v>
      </c>
      <c r="AG8" s="11">
        <f>VLOOKUP(AF8,$A$5:$I$8,2,FALSE)</f>
        <v>1</v>
      </c>
      <c r="AH8" s="11">
        <f>VLOOKUP(AF8,$A$5:$I$8,9,FALSE)</f>
        <v>-3</v>
      </c>
      <c r="AI8" s="11">
        <f>VLOOKUP(AF8,$A$5:$I$8,7,FALSE)</f>
        <v>2</v>
      </c>
      <c r="AJ8" s="11" t="str">
        <f>IF(AND(AG6=AG8,AH6=AH8,AI8&gt;AI6),AF6,AF8)</f>
        <v>Senegal</v>
      </c>
      <c r="AK8" s="11">
        <f>VLOOKUP(AJ8,$A$5:$I$8,2,FALSE)</f>
        <v>1</v>
      </c>
      <c r="AL8" s="11">
        <f>VLOOKUP(AJ8,$A$5:$I$8,9,FALSE)</f>
        <v>-3</v>
      </c>
      <c r="AM8" s="11">
        <f>VLOOKUP(AJ8,$A$5:$I$8,7,FALSE)</f>
        <v>2</v>
      </c>
      <c r="AN8" s="11" t="str">
        <f>IF(AND(AK8=AK5,AL8=AL5,AM8&gt;AM5),AJ5,AJ8)</f>
        <v>Senegal</v>
      </c>
      <c r="AO8" s="213">
        <f>VLOOKUP(AN8,$A$5:$I$8,2,FALSE)</f>
        <v>1</v>
      </c>
      <c r="AP8" s="213">
        <f>IF(Tabela!N2="www.guiadecompra.com",VLOOKUP(AN8,$A$5:$I$8,9,FALSE),0)</f>
        <v>-3</v>
      </c>
      <c r="AQ8" s="213">
        <f>VLOOKUP(AN8,$A$5:$I$8,7,FALSE)</f>
        <v>2</v>
      </c>
      <c r="AR8" s="12"/>
      <c r="AS8" s="12"/>
      <c r="AT8" s="12"/>
      <c r="AU8" s="12"/>
    </row>
    <row r="9" spans="1:47">
      <c r="A9" s="40"/>
      <c r="B9" s="43"/>
      <c r="C9" s="43"/>
      <c r="D9" s="43"/>
      <c r="E9" s="43"/>
      <c r="F9" s="43"/>
      <c r="G9" s="43"/>
      <c r="H9" s="43"/>
      <c r="I9" s="43"/>
      <c r="J9" s="7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213"/>
      <c r="AP9" s="213"/>
      <c r="AQ9" s="213"/>
      <c r="AR9" s="12"/>
      <c r="AS9" s="12"/>
      <c r="AT9" s="12"/>
      <c r="AU9" s="12"/>
    </row>
    <row r="10" spans="1:47">
      <c r="A10" s="5"/>
      <c r="B10" s="7"/>
      <c r="C10" s="7"/>
      <c r="D10" s="7"/>
      <c r="E10" s="7"/>
      <c r="F10" s="7"/>
      <c r="G10" s="7"/>
      <c r="H10" s="7"/>
      <c r="I10" s="7"/>
      <c r="J10" s="7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213"/>
      <c r="AP10" s="213"/>
      <c r="AQ10" s="213"/>
      <c r="AR10" s="12"/>
      <c r="AS10" s="12"/>
      <c r="AT10" s="12"/>
      <c r="AU10" s="12"/>
    </row>
    <row r="11" spans="1:47">
      <c r="A11" s="5"/>
      <c r="B11" s="417" t="s">
        <v>36</v>
      </c>
      <c r="C11" s="417"/>
      <c r="D11" s="417"/>
      <c r="E11" s="417"/>
      <c r="F11" s="417"/>
      <c r="G11" s="417"/>
      <c r="H11" s="417"/>
      <c r="I11" s="417"/>
      <c r="J11" s="7"/>
      <c r="K11" s="11" t="s">
        <v>31</v>
      </c>
      <c r="L11" s="11"/>
      <c r="M11" s="11"/>
      <c r="N11" s="11" t="s">
        <v>32</v>
      </c>
      <c r="O11" s="11"/>
      <c r="P11" s="11"/>
      <c r="Q11" s="11" t="s">
        <v>33</v>
      </c>
      <c r="R11" s="11"/>
      <c r="S11" s="11"/>
      <c r="T11" s="11"/>
      <c r="U11" s="11" t="s">
        <v>33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213"/>
      <c r="AP11" s="213"/>
      <c r="AQ11" s="213"/>
      <c r="AR11" s="12"/>
      <c r="AS11" s="12"/>
      <c r="AT11" s="12"/>
      <c r="AU11" s="12"/>
    </row>
    <row r="12" spans="1:47">
      <c r="A12" s="37" t="s">
        <v>34</v>
      </c>
      <c r="B12" s="38" t="s">
        <v>4</v>
      </c>
      <c r="C12" s="39" t="s">
        <v>5</v>
      </c>
      <c r="D12" s="39" t="s">
        <v>6</v>
      </c>
      <c r="E12" s="39" t="s">
        <v>7</v>
      </c>
      <c r="F12" s="39" t="s">
        <v>8</v>
      </c>
      <c r="G12" s="39" t="s">
        <v>9</v>
      </c>
      <c r="H12" s="39" t="s">
        <v>10</v>
      </c>
      <c r="I12" s="39" t="s">
        <v>11</v>
      </c>
      <c r="J12" s="14"/>
      <c r="K12" s="11"/>
      <c r="L12" s="11" t="s">
        <v>4</v>
      </c>
      <c r="M12" s="11"/>
      <c r="N12" s="11"/>
      <c r="O12" s="11" t="s">
        <v>35</v>
      </c>
      <c r="P12" s="11"/>
      <c r="Q12" s="11"/>
      <c r="R12" s="11" t="s">
        <v>4</v>
      </c>
      <c r="S12" s="11" t="s">
        <v>11</v>
      </c>
      <c r="T12" s="11"/>
      <c r="U12" s="11"/>
      <c r="V12" s="11" t="s">
        <v>4</v>
      </c>
      <c r="W12" s="11" t="s">
        <v>11</v>
      </c>
      <c r="X12" s="11"/>
      <c r="Y12" s="11" t="s">
        <v>4</v>
      </c>
      <c r="Z12" s="11" t="s">
        <v>11</v>
      </c>
      <c r="AA12" s="11"/>
      <c r="AB12" s="11"/>
      <c r="AC12" s="11" t="s">
        <v>4</v>
      </c>
      <c r="AD12" s="11" t="s">
        <v>11</v>
      </c>
      <c r="AE12" s="11" t="s">
        <v>9</v>
      </c>
      <c r="AF12" s="11"/>
      <c r="AG12" s="11" t="s">
        <v>4</v>
      </c>
      <c r="AH12" s="11" t="s">
        <v>11</v>
      </c>
      <c r="AI12" s="11" t="s">
        <v>9</v>
      </c>
      <c r="AJ12" s="11"/>
      <c r="AK12" s="11" t="s">
        <v>4</v>
      </c>
      <c r="AL12" s="11" t="s">
        <v>11</v>
      </c>
      <c r="AM12" s="11" t="s">
        <v>9</v>
      </c>
      <c r="AN12" s="11"/>
      <c r="AO12" s="213" t="s">
        <v>4</v>
      </c>
      <c r="AP12" s="213" t="s">
        <v>11</v>
      </c>
      <c r="AQ12" s="213" t="s">
        <v>9</v>
      </c>
      <c r="AR12" s="12"/>
      <c r="AS12" s="12"/>
      <c r="AT12" s="12"/>
      <c r="AU12" s="12"/>
    </row>
    <row r="13" spans="1:47">
      <c r="A13" s="40" t="str">
        <f>time!B1</f>
        <v>Inglaterra</v>
      </c>
      <c r="B13" s="41">
        <f>IF(Copa=FIFA,SUM(D13*3)+E13,0)</f>
        <v>7</v>
      </c>
      <c r="C13" s="42">
        <f>COUNT(Tabela!G14,Tabela!G17,Tabela!I18)</f>
        <v>3</v>
      </c>
      <c r="D13" s="42">
        <f>SUM(IF(Tabela!$G$14&gt;Tabela!$I$14,COUNT(Tabela!$G$14)),IF(Tabela!$G$17&gt;Tabela!$I$17,COUNT(Tabela!$G$17)),IF(Tabela!$I$18&gt;Tabela!$G$18,COUNT(Tabela!$I$18)))</f>
        <v>2</v>
      </c>
      <c r="E13" s="42">
        <f>SUM(IF(Tabela!$G$14=Tabela!$I$14,COUNT(Tabela!$G$14)),IF(Tabela!$G$17=Tabela!$I$17,COUNT(Tabela!$G$17)),IF(Tabela!$I$18=Tabela!$G$18,COUNT(Tabela!$I$18)))</f>
        <v>1</v>
      </c>
      <c r="F13" s="42">
        <f>SUM(IF(Tabela!$G$14&lt;Tabela!$I$14,COUNT(Tabela!$G$14)),IF(Tabela!$G$17&lt;Tabela!$I$17,COUNT(Tabela!$G$17)),IF(Tabela!$I$18&lt;Tabela!$G$18,COUNT(Tabela!$I$18)))</f>
        <v>0</v>
      </c>
      <c r="G13" s="42">
        <f>SUM(Tabela!G14+Tabela!G17+Tabela!I18)</f>
        <v>6</v>
      </c>
      <c r="H13" s="42">
        <f>SUM(Tabela!I14+Tabela!I17+Tabela!G18)</f>
        <v>2</v>
      </c>
      <c r="I13" s="42">
        <f>IF(BR20I4=Tabela!C2,SUM(G13-H13),"X")</f>
        <v>4</v>
      </c>
      <c r="J13" s="13"/>
      <c r="K13" s="11" t="str">
        <f>IF(B13&gt;=B14,A13,A14)</f>
        <v>Inglaterra</v>
      </c>
      <c r="L13" s="11">
        <f>VLOOKUP(K13,$A$13:$I$16,2,FALSE)</f>
        <v>7</v>
      </c>
      <c r="M13" s="11"/>
      <c r="N13" s="11" t="str">
        <f>IF(L13&gt;=L15,K13,K15)</f>
        <v>Inglaterra</v>
      </c>
      <c r="O13" s="11">
        <f>VLOOKUP(N13,$A$13:$I$16,2,FALSE)</f>
        <v>7</v>
      </c>
      <c r="P13" s="11"/>
      <c r="Q13" s="11" t="str">
        <f>IF(O13&gt;=O16,N13,N16)</f>
        <v>Inglaterra</v>
      </c>
      <c r="R13" s="11">
        <f>VLOOKUP(Q13,$A$13:$I$16,2,FALSE)</f>
        <v>7</v>
      </c>
      <c r="S13" s="11">
        <f>VLOOKUP(Q13,$A$13:$I$16,9,FALSE)</f>
        <v>4</v>
      </c>
      <c r="T13" s="11"/>
      <c r="U13" s="11" t="str">
        <f>IF(AND(R13=R14,S14&gt;S13),Q14,Q13)</f>
        <v>Inglaterra</v>
      </c>
      <c r="V13" s="11">
        <f>VLOOKUP(U13,$A$13:$I$16,2,FALSE)</f>
        <v>7</v>
      </c>
      <c r="W13" s="11">
        <f>VLOOKUP(U13,$A$13:$I$16,9,FALSE)</f>
        <v>4</v>
      </c>
      <c r="X13" s="11" t="str">
        <f>IF(AND(V13=V15,W15&gt;W13),U15,U13)</f>
        <v>Inglaterra</v>
      </c>
      <c r="Y13" s="11">
        <f>VLOOKUP(X13,$A$13:$I$16,2,FALSE)</f>
        <v>7</v>
      </c>
      <c r="Z13" s="11">
        <f>VLOOKUP(X13,$A$13:$I$16,9,FALSE)</f>
        <v>4</v>
      </c>
      <c r="AA13" s="11"/>
      <c r="AB13" s="11" t="str">
        <f>IF(AND(Y13=Y16,Z16&gt;Z13),X16,X13)</f>
        <v>Inglaterra</v>
      </c>
      <c r="AC13" s="11">
        <f>VLOOKUP(AB13,$A$13:$I$16,2,FALSE)</f>
        <v>7</v>
      </c>
      <c r="AD13" s="11">
        <f>VLOOKUP(AB13,$A$13:$I$16,9,FALSE)</f>
        <v>4</v>
      </c>
      <c r="AE13" s="11">
        <f>VLOOKUP(AB13,$A$13:$I$16,7,FALSE)</f>
        <v>6</v>
      </c>
      <c r="AF13" s="11" t="str">
        <f>IF(AND(AC13=AC14,AD13=AD14,AE14&gt;AE13),AB14,AB13)</f>
        <v>Inglaterra</v>
      </c>
      <c r="AG13" s="11">
        <f>VLOOKUP(AF13,$A$13:$I$16,2,FALSE)</f>
        <v>7</v>
      </c>
      <c r="AH13" s="11">
        <f>VLOOKUP(AF13,$A$13:$I$16,9,FALSE)</f>
        <v>4</v>
      </c>
      <c r="AI13" s="11">
        <f>VLOOKUP(AF13,$A$13:$I$16,7,FALSE)</f>
        <v>6</v>
      </c>
      <c r="AJ13" s="11" t="str">
        <f>IF(AND(AG13=AG15,AH13=AH15,AI15&gt;AI13),AF15,AF13)</f>
        <v>Inglaterra</v>
      </c>
      <c r="AK13" s="11">
        <f>VLOOKUP(AJ13,$A$13:$I$16,2,FALSE)</f>
        <v>7</v>
      </c>
      <c r="AL13" s="11">
        <f>VLOOKUP(AJ13,$A$13:$I$16,9,FALSE)</f>
        <v>4</v>
      </c>
      <c r="AM13" s="11">
        <f>VLOOKUP(AJ13,$A$13:$I$16,7,FALSE)</f>
        <v>6</v>
      </c>
      <c r="AN13" s="11" t="str">
        <f>IF(AND(AK13=AK16,AL13=AL16,AM16&gt;AM13),AJ16,AJ13)</f>
        <v>Inglaterra</v>
      </c>
      <c r="AO13" s="213">
        <f>VLOOKUP(AN13,$A$13:$I$16,2,FALSE)</f>
        <v>7</v>
      </c>
      <c r="AP13" s="213">
        <f>IF(Tabela!N2="www.guiadecompra.com",VLOOKUP(AN13,$A$13:$I$16,9,FALSE),0)</f>
        <v>4</v>
      </c>
      <c r="AQ13" s="213">
        <f>VLOOKUP(AN13,$A$13:$I$16,7,FALSE)</f>
        <v>6</v>
      </c>
      <c r="AR13" s="12"/>
      <c r="AS13" s="12"/>
      <c r="AT13" s="12"/>
      <c r="AU13" s="12"/>
    </row>
    <row r="14" spans="1:47">
      <c r="A14" s="40" t="str">
        <f>time!B2</f>
        <v>Irã</v>
      </c>
      <c r="B14" s="41">
        <f>IF(Copa=FIFA,SUM(D14*3)+E14,0)</f>
        <v>0</v>
      </c>
      <c r="C14" s="42">
        <f>COUNT(Tabela!I14,Tabela!I16,Tabela!G19)</f>
        <v>3</v>
      </c>
      <c r="D14" s="42">
        <f>SUM(IF(Tabela!$I$14&gt;Tabela!$G$14,COUNT(Tabela!$I$14)),IF(Tabela!$I$16&gt;Tabela!$G$16,COUNT(Tabela!$I$16)),IF(Tabela!$G$19&gt;Tabela!$I$19,COUNT(Tabela!$G$19)))</f>
        <v>0</v>
      </c>
      <c r="E14" s="42">
        <f>SUM(IF(Tabela!$I$14=Tabela!$G$14,COUNT(Tabela!$I$14)),IF(Tabela!$I$16=Tabela!$G$16,COUNT(Tabela!$I$16)),IF(Tabela!$G$19=Tabela!$I$19,COUNT(Tabela!$G$19)))</f>
        <v>0</v>
      </c>
      <c r="F14" s="42">
        <f>SUM(IF(Tabela!$I$14&lt;Tabela!$G$14,COUNT(Tabela!$I$14)),IF(Tabela!$I$16&lt;Tabela!$G$16,COUNT(Tabela!$I$16)),IF(Tabela!$G$19&lt;Tabela!$I$19,COUNT(Tabela!$G$19)))</f>
        <v>3</v>
      </c>
      <c r="G14" s="42">
        <f>SUM(Tabela!I14+Tabela!I16+Tabela!G19)</f>
        <v>0</v>
      </c>
      <c r="H14" s="42">
        <f>SUM(Tabela!G14+Tabela!G16+Tabela!I19)</f>
        <v>7</v>
      </c>
      <c r="I14" s="42">
        <f>IF(BR20I4=Tabela!C2,SUM(G14-H14),"X")</f>
        <v>-7</v>
      </c>
      <c r="J14" s="13"/>
      <c r="K14" s="11" t="str">
        <f>IF(B14&lt;=B13,A14,A13)</f>
        <v>Irã</v>
      </c>
      <c r="L14" s="11">
        <f>VLOOKUP(K14,$A$13:$I$16,2,FALSE)</f>
        <v>0</v>
      </c>
      <c r="M14" s="11"/>
      <c r="N14" s="11" t="str">
        <f>IF(L14&gt;=L16,K14,K16)</f>
        <v>Estados Unidos</v>
      </c>
      <c r="O14" s="11">
        <f>VLOOKUP(N14,$A$13:$I$16,2,FALSE)</f>
        <v>4</v>
      </c>
      <c r="P14" s="11"/>
      <c r="Q14" s="11" t="str">
        <f>IF(O14&gt;=O15,N14,N15)</f>
        <v>País de Gales</v>
      </c>
      <c r="R14" s="11">
        <f>VLOOKUP(Q14,$A$13:$I$16,2,FALSE)</f>
        <v>5</v>
      </c>
      <c r="S14" s="11">
        <f>VLOOKUP(Q14,$A$13:$I$16,9,FALSE)</f>
        <v>2</v>
      </c>
      <c r="T14" s="11"/>
      <c r="U14" s="11" t="str">
        <f>IF(AND(R13=R14,S14&gt;S13),Q13,Q14)</f>
        <v>País de Gales</v>
      </c>
      <c r="V14" s="11">
        <f>VLOOKUP(U14,$A$13:$I$16,2,FALSE)</f>
        <v>5</v>
      </c>
      <c r="W14" s="11">
        <f>VLOOKUP(U14,$A$13:$I$16,9,FALSE)</f>
        <v>2</v>
      </c>
      <c r="X14" s="11" t="str">
        <f>IF(AND(V14=V16,W16&gt;W14),U16,U14)</f>
        <v>País de Gales</v>
      </c>
      <c r="Y14" s="11">
        <f>VLOOKUP(X14,$A$13:$I$16,2,FALSE)</f>
        <v>5</v>
      </c>
      <c r="Z14" s="11">
        <f>VLOOKUP(X14,$A$13:$I$16,9,FALSE)</f>
        <v>2</v>
      </c>
      <c r="AA14" s="11"/>
      <c r="AB14" s="11" t="str">
        <f>IF(AND(Y14=Y15,Z15&gt;Z14),X15,X14)</f>
        <v>País de Gales</v>
      </c>
      <c r="AC14" s="11">
        <f>VLOOKUP(AB14,$A$13:$I$16,2,FALSE)</f>
        <v>5</v>
      </c>
      <c r="AD14" s="11">
        <f>VLOOKUP(AB14,$A$13:$I$16,9,FALSE)</f>
        <v>2</v>
      </c>
      <c r="AE14" s="11">
        <f>VLOOKUP(AB14,$A$13:$I$16,7,FALSE)</f>
        <v>4</v>
      </c>
      <c r="AF14" s="11" t="str">
        <f>IF(AND(AC14=AC13,AD14=AD13,AE14&gt;AE13),AB13,AB14)</f>
        <v>País de Gales</v>
      </c>
      <c r="AG14" s="11">
        <f>VLOOKUP(AF14,$A$13:$I$16,2,FALSE)</f>
        <v>5</v>
      </c>
      <c r="AH14" s="11">
        <f>VLOOKUP(AF14,$A$13:$I$16,9,FALSE)</f>
        <v>2</v>
      </c>
      <c r="AI14" s="11">
        <f>VLOOKUP(AF14,$A$13:$I$16,7,FALSE)</f>
        <v>4</v>
      </c>
      <c r="AJ14" s="11" t="str">
        <f>IF(AND(AG14=AG16,AH14=AH16,AI16&gt;AI14),AF16,AF14)</f>
        <v>País de Gales</v>
      </c>
      <c r="AK14" s="11">
        <f>VLOOKUP(AJ14,$A$13:$I$16,2,FALSE)</f>
        <v>5</v>
      </c>
      <c r="AL14" s="11">
        <f>VLOOKUP(AJ14,$A$13:$I$16,9,FALSE)</f>
        <v>2</v>
      </c>
      <c r="AM14" s="11">
        <f>VLOOKUP(AJ14,$A$13:$I$16,7,FALSE)</f>
        <v>4</v>
      </c>
      <c r="AN14" s="11" t="str">
        <f>IF(AND(AK14=AK15,AL14=AL15,AM15&gt;AM14),AJ15,AJ14)</f>
        <v>País de Gales</v>
      </c>
      <c r="AO14" s="213">
        <f>VLOOKUP(AN14,$A$13:$I$16,2,FALSE)</f>
        <v>5</v>
      </c>
      <c r="AP14" s="213">
        <f>IF(Tabela!N2="www.guiadecompra.com",VLOOKUP(AN14,$A$13:$I$16,9,FALSE),0)</f>
        <v>2</v>
      </c>
      <c r="AQ14" s="213">
        <f>VLOOKUP(AN14,$A$13:$I$16,7,FALSE)</f>
        <v>4</v>
      </c>
      <c r="AR14" s="12"/>
      <c r="AS14" s="12"/>
      <c r="AT14" s="12"/>
      <c r="AU14" s="12"/>
    </row>
    <row r="15" spans="1:47">
      <c r="A15" s="40" t="str">
        <f>time!B3</f>
        <v>Estados Unidos</v>
      </c>
      <c r="B15" s="41">
        <f>IF(Copa=FIFA,SUM(D15*3)+E15,0)</f>
        <v>4</v>
      </c>
      <c r="C15" s="42">
        <f>COUNT(Tabela!G15,Tabela!I17,Tabela!I19)</f>
        <v>3</v>
      </c>
      <c r="D15" s="42">
        <f>SUM(IF(Tabela!$G$15&gt;Tabela!$I$15,COUNT(Tabela!$G$15)),IF(Tabela!$I$17&gt;Tabela!$G$17,COUNT(Tabela!$I$17)),IF(Tabela!$I$19&gt;Tabela!$G$19,COUNT(Tabela!$I$19)))</f>
        <v>1</v>
      </c>
      <c r="E15" s="42">
        <f>SUM(IF(Tabela!$G$15=Tabela!$I$15,COUNT(Tabela!$G$15)),IF(Tabela!$I$17=Tabela!$G$17,COUNT(Tabela!$I$17)),IF(Tabela!$I$19=Tabela!$G$19,COUNT(Tabela!$I$19)))</f>
        <v>1</v>
      </c>
      <c r="F15" s="42">
        <f>SUM(IF(Tabela!$G$15&lt;Tabela!$I$15,COUNT(Tabela!$G$15)),IF(Tabela!$I$17&lt;Tabela!$G$17,COUNT(Tabela!$I$17)),IF(Tabela!$I$19&lt;Tabela!$G$19,COUNT(Tabela!$I$19)))</f>
        <v>1</v>
      </c>
      <c r="G15" s="42">
        <f>SUM(Tabela!G15+Tabela!I17+Tabela!I19)</f>
        <v>5</v>
      </c>
      <c r="H15" s="42">
        <f>SUM(Tabela!I15+Tabela!G17+Tabela!G19)</f>
        <v>4</v>
      </c>
      <c r="I15" s="42">
        <f>IF(BR20I4=Tabela!C2,SUM(G15-H15),"X")</f>
        <v>1</v>
      </c>
      <c r="J15" s="13"/>
      <c r="K15" s="11" t="str">
        <f>IF(B15&gt;=B16,A15,A16)</f>
        <v>País de Gales</v>
      </c>
      <c r="L15" s="11">
        <f>VLOOKUP(K15,$A$13:$I$16,2,FALSE)</f>
        <v>5</v>
      </c>
      <c r="M15" s="11"/>
      <c r="N15" s="11" t="str">
        <f>IF(L15&lt;=L13,K15,K13)</f>
        <v>País de Gales</v>
      </c>
      <c r="O15" s="11">
        <f>VLOOKUP(N15,$A$13:$I$16,2,FALSE)</f>
        <v>5</v>
      </c>
      <c r="P15" s="11"/>
      <c r="Q15" s="11" t="str">
        <f>IF(O15&lt;=O14,N15,N14)</f>
        <v>Estados Unidos</v>
      </c>
      <c r="R15" s="11">
        <f>VLOOKUP(Q15,$A$13:$I$16,2,FALSE)</f>
        <v>4</v>
      </c>
      <c r="S15" s="11">
        <f>VLOOKUP(Q15,$A$13:$I$16,9,FALSE)</f>
        <v>1</v>
      </c>
      <c r="T15" s="11"/>
      <c r="U15" s="11" t="str">
        <f>IF(AND(R15=R16,S16&gt;S15),Q16,Q15)</f>
        <v>Estados Unidos</v>
      </c>
      <c r="V15" s="11">
        <f>VLOOKUP(U15,$A$13:$I$16,2,FALSE)</f>
        <v>4</v>
      </c>
      <c r="W15" s="11">
        <f>VLOOKUP(U15,$A$13:$I$16,9,FALSE)</f>
        <v>1</v>
      </c>
      <c r="X15" s="11" t="str">
        <f>IF(AND(V13=V15,W15&gt;W13),U13,U15)</f>
        <v>Estados Unidos</v>
      </c>
      <c r="Y15" s="11">
        <f>VLOOKUP(X15,$A$13:$I$16,2,FALSE)</f>
        <v>4</v>
      </c>
      <c r="Z15" s="11">
        <f>VLOOKUP(X15,$A$13:$I$16,9,FALSE)</f>
        <v>1</v>
      </c>
      <c r="AA15" s="11"/>
      <c r="AB15" s="11" t="str">
        <f>IF(AND(Y15=Y14,Z15&gt;Z14),X14,X15)</f>
        <v>Estados Unidos</v>
      </c>
      <c r="AC15" s="11">
        <f>VLOOKUP(AB15,$A$13:$I$16,2,FALSE)</f>
        <v>4</v>
      </c>
      <c r="AD15" s="11">
        <f>VLOOKUP(AB15,$A$13:$I$16,9,FALSE)</f>
        <v>1</v>
      </c>
      <c r="AE15" s="11">
        <f>VLOOKUP(AB15,$A$13:$I$16,7,FALSE)</f>
        <v>5</v>
      </c>
      <c r="AF15" s="11" t="str">
        <f>IF(AND(AC15=AC16,AD15=AD16,AE16&gt;AE15),AB16,AB15)</f>
        <v>Estados Unidos</v>
      </c>
      <c r="AG15" s="11">
        <f>VLOOKUP(AF15,$A$13:$I$16,2,FALSE)</f>
        <v>4</v>
      </c>
      <c r="AH15" s="11">
        <f>VLOOKUP(AF15,$A$13:$I$16,9,FALSE)</f>
        <v>1</v>
      </c>
      <c r="AI15" s="11">
        <f>VLOOKUP(AF15,$A$13:$I$16,7,FALSE)</f>
        <v>5</v>
      </c>
      <c r="AJ15" s="11" t="str">
        <f>IF(AND(AG15=AG13,AH15=AH13,AI15&gt;AI13),AF13,AF15)</f>
        <v>Estados Unidos</v>
      </c>
      <c r="AK15" s="11">
        <f>VLOOKUP(AJ15,$A$13:$I$16,2,FALSE)</f>
        <v>4</v>
      </c>
      <c r="AL15" s="11">
        <f>VLOOKUP(AJ15,$A$13:$I$16,9,FALSE)</f>
        <v>1</v>
      </c>
      <c r="AM15" s="11">
        <f>VLOOKUP(AJ15,$A$13:$I$16,7,FALSE)</f>
        <v>5</v>
      </c>
      <c r="AN15" s="11" t="str">
        <f>IF(AND(AK15=AK14,AL15=AL14,AM15&gt;AM14),AJ14,AJ15)</f>
        <v>Estados Unidos</v>
      </c>
      <c r="AO15" s="213">
        <f>VLOOKUP(AN15,$A$13:$I$16,2,FALSE)</f>
        <v>4</v>
      </c>
      <c r="AP15" s="213">
        <f>IF(Tabela!N2="www.guiadecompra.com",VLOOKUP(AN15,$A$13:$I$16,9,FALSE),0)</f>
        <v>1</v>
      </c>
      <c r="AQ15" s="213">
        <f>VLOOKUP(AN15,$A$13:$I$16,7,FALSE)</f>
        <v>5</v>
      </c>
      <c r="AR15" s="12"/>
      <c r="AS15" s="12"/>
      <c r="AT15" s="12"/>
      <c r="AU15" s="12"/>
    </row>
    <row r="16" spans="1:47">
      <c r="A16" s="40" t="str">
        <f>time!B4</f>
        <v>País de Gales</v>
      </c>
      <c r="B16" s="41">
        <f>IF(Copa=FIFA,SUM(D16*3)+E16,0)</f>
        <v>5</v>
      </c>
      <c r="C16" s="42">
        <f>COUNT(Tabela!I15,Tabela!G16,Tabela!G18)</f>
        <v>3</v>
      </c>
      <c r="D16" s="42">
        <f>SUM(IF(Tabela!$I$15&gt;Tabela!$G$15,COUNT(Tabela!$I$15)),IF(Tabela!$G$16&gt;Tabela!$I$16,COUNT(Tabela!$G$16)),IF(Tabela!$G$18&gt;Tabela!$I$18,COUNT(Tabela!$G$18)))</f>
        <v>1</v>
      </c>
      <c r="E16" s="42">
        <f>SUM(IF(Tabela!$I$15=Tabela!$G$15,COUNT(Tabela!$I$15)),IF(Tabela!$G$16=Tabela!$I$16,COUNT(Tabela!$G$16)),IF(Tabela!$G$18=Tabela!$I$18,COUNT(Tabela!$G$18)))</f>
        <v>2</v>
      </c>
      <c r="F16" s="42">
        <f>SUM(IF(Tabela!$I$15&lt;Tabela!$G$15,COUNT(Tabela!$I$15)),IF(Tabela!$G$16&lt;Tabela!$I$16,COUNT(Tabela!$G$16)),IF(Tabela!$G$18&lt;Tabela!$I$18,COUNT(Tabela!$G$18)))</f>
        <v>0</v>
      </c>
      <c r="G16" s="42">
        <f>SUM(Tabela!I15+Tabela!G16+Tabela!G18)</f>
        <v>4</v>
      </c>
      <c r="H16" s="42">
        <f>SUM(Tabela!G15+Tabela!I16+Tabela!I18)</f>
        <v>2</v>
      </c>
      <c r="I16" s="42">
        <f>IF(BR20I4=Tabela!C2,SUM(G16-H16),"X")</f>
        <v>2</v>
      </c>
      <c r="J16" s="13"/>
      <c r="K16" s="11" t="str">
        <f>IF(B16&lt;=B15,A16,A15)</f>
        <v>Estados Unidos</v>
      </c>
      <c r="L16" s="11">
        <f>VLOOKUP(K16,$A$13:$I$16,2,FALSE)</f>
        <v>4</v>
      </c>
      <c r="M16" s="11"/>
      <c r="N16" s="11" t="str">
        <f>IF(L16&lt;=L14,K16,K14)</f>
        <v>Irã</v>
      </c>
      <c r="O16" s="11">
        <f>VLOOKUP(N16,$A$13:$I$16,2,FALSE)</f>
        <v>0</v>
      </c>
      <c r="P16" s="11"/>
      <c r="Q16" s="11" t="str">
        <f>IF(O16&lt;=O13,N16,N13)</f>
        <v>Irã</v>
      </c>
      <c r="R16" s="11">
        <f>VLOOKUP(Q16,$A$13:$I$16,2,FALSE)</f>
        <v>0</v>
      </c>
      <c r="S16" s="11">
        <f>VLOOKUP(Q16,$A$13:$I$16,9,FALSE)</f>
        <v>-7</v>
      </c>
      <c r="T16" s="11"/>
      <c r="U16" s="11" t="str">
        <f>IF(AND(R15=R16,S16&gt;S15),Q15,Q16)</f>
        <v>Irã</v>
      </c>
      <c r="V16" s="11">
        <f>VLOOKUP(U16,$A$13:$I$16,2,FALSE)</f>
        <v>0</v>
      </c>
      <c r="W16" s="11">
        <f>VLOOKUP(U16,$A$13:$I$16,9,FALSE)</f>
        <v>-7</v>
      </c>
      <c r="X16" s="11" t="str">
        <f>IF(AND(V14=V16,W16&gt;W14),U14,U16)</f>
        <v>Irã</v>
      </c>
      <c r="Y16" s="11">
        <f>VLOOKUP(X16,$A$13:$I$16,2,FALSE)</f>
        <v>0</v>
      </c>
      <c r="Z16" s="11">
        <f>VLOOKUP(X16,$A$13:$I$16,9,FALSE)</f>
        <v>-7</v>
      </c>
      <c r="AA16" s="11"/>
      <c r="AB16" s="11" t="str">
        <f>IF(AND(Y16=Y13,Z16&gt;Z13),X13,X16)</f>
        <v>Irã</v>
      </c>
      <c r="AC16" s="11">
        <f>VLOOKUP(AB16,$A$13:$I$16,2,FALSE)</f>
        <v>0</v>
      </c>
      <c r="AD16" s="11">
        <f>VLOOKUP(AB16,$A$13:$I$16,9,FALSE)</f>
        <v>-7</v>
      </c>
      <c r="AE16" s="11">
        <f>VLOOKUP(AB16,$A$13:$I$16,7,FALSE)</f>
        <v>0</v>
      </c>
      <c r="AF16" s="11" t="str">
        <f>IF(AND(AC16=AC15,AD16=AD15,AE16&gt;AE15),X15,X16)</f>
        <v>Irã</v>
      </c>
      <c r="AG16" s="11">
        <f>VLOOKUP(AF16,$A$13:$I$16,2,FALSE)</f>
        <v>0</v>
      </c>
      <c r="AH16" s="11">
        <f>VLOOKUP(AF16,$A$13:$I$16,9,FALSE)</f>
        <v>-7</v>
      </c>
      <c r="AI16" s="11">
        <f>VLOOKUP(AF16,$A$13:$I$16,7,FALSE)</f>
        <v>0</v>
      </c>
      <c r="AJ16" s="11" t="str">
        <f>IF(AND(AG14=AG16,AH14=AH16,AI16&gt;AI14),AF14,AF16)</f>
        <v>Irã</v>
      </c>
      <c r="AK16" s="11">
        <f>VLOOKUP(AJ16,$A$13:$I$16,2,FALSE)</f>
        <v>0</v>
      </c>
      <c r="AL16" s="11">
        <f>VLOOKUP(AJ16,$A$13:$I$16,9,FALSE)</f>
        <v>-7</v>
      </c>
      <c r="AM16" s="11">
        <f>VLOOKUP(AJ16,$A$13:$I$16,7,FALSE)</f>
        <v>0</v>
      </c>
      <c r="AN16" s="11" t="str">
        <f>IF(AND(AK16=AK13,AL16=AL13,AM16&gt;AM13),AJ13,AJ16)</f>
        <v>Irã</v>
      </c>
      <c r="AO16" s="213">
        <f>VLOOKUP(AN16,$A$13:$I$16,2,FALSE)</f>
        <v>0</v>
      </c>
      <c r="AP16" s="213">
        <f>IF(Tabela!N2="www.guiadecompra.com",VLOOKUP(AN16,$A$13:$I$16,9,FALSE),0)</f>
        <v>-7</v>
      </c>
      <c r="AQ16" s="213">
        <f>VLOOKUP(AN16,$A$13:$I$16,7,FALSE)</f>
        <v>0</v>
      </c>
      <c r="AR16" s="12"/>
      <c r="AS16" s="12"/>
      <c r="AT16" s="12"/>
      <c r="AU16" s="12"/>
    </row>
    <row r="17" spans="1:47">
      <c r="A17" s="5"/>
      <c r="B17" s="7"/>
      <c r="C17" s="7"/>
      <c r="D17" s="7"/>
      <c r="E17" s="7"/>
      <c r="F17" s="7"/>
      <c r="G17" s="7"/>
      <c r="H17" s="7"/>
      <c r="I17" s="7"/>
      <c r="J17" s="7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213"/>
      <c r="AP17" s="213"/>
      <c r="AQ17" s="213"/>
      <c r="AR17" s="12"/>
      <c r="AS17" s="12"/>
      <c r="AT17" s="12"/>
      <c r="AU17" s="12"/>
    </row>
    <row r="18" spans="1:47">
      <c r="A18" s="5"/>
      <c r="B18" s="7"/>
      <c r="C18" s="7"/>
      <c r="D18" s="7"/>
      <c r="E18" s="7"/>
      <c r="F18" s="7"/>
      <c r="G18" s="7"/>
      <c r="H18" s="7"/>
      <c r="I18" s="7"/>
      <c r="J18" s="7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213"/>
      <c r="AP18" s="213"/>
      <c r="AQ18" s="213"/>
      <c r="AR18" s="12"/>
      <c r="AS18" s="12"/>
      <c r="AT18" s="12"/>
      <c r="AU18" s="12"/>
    </row>
    <row r="19" spans="1:47">
      <c r="A19" s="5"/>
      <c r="B19" s="417" t="s">
        <v>37</v>
      </c>
      <c r="C19" s="417"/>
      <c r="D19" s="417"/>
      <c r="E19" s="417"/>
      <c r="F19" s="417"/>
      <c r="G19" s="417"/>
      <c r="H19" s="417"/>
      <c r="I19" s="417"/>
      <c r="J19" s="7"/>
      <c r="K19" s="11" t="s">
        <v>31</v>
      </c>
      <c r="L19" s="11"/>
      <c r="M19" s="11"/>
      <c r="N19" s="11" t="s">
        <v>32</v>
      </c>
      <c r="O19" s="11"/>
      <c r="P19" s="11"/>
      <c r="Q19" s="11" t="s">
        <v>33</v>
      </c>
      <c r="R19" s="11"/>
      <c r="S19" s="11"/>
      <c r="T19" s="11"/>
      <c r="U19" s="11" t="s">
        <v>33</v>
      </c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213"/>
      <c r="AP19" s="213"/>
      <c r="AQ19" s="213"/>
      <c r="AR19" s="12"/>
      <c r="AS19" s="12"/>
      <c r="AT19" s="12"/>
      <c r="AU19" s="12"/>
    </row>
    <row r="20" spans="1:47">
      <c r="A20" s="37" t="s">
        <v>34</v>
      </c>
      <c r="B20" s="38" t="s">
        <v>4</v>
      </c>
      <c r="C20" s="39" t="s">
        <v>5</v>
      </c>
      <c r="D20" s="39" t="s">
        <v>6</v>
      </c>
      <c r="E20" s="39" t="s">
        <v>7</v>
      </c>
      <c r="F20" s="39" t="s">
        <v>8</v>
      </c>
      <c r="G20" s="39" t="s">
        <v>9</v>
      </c>
      <c r="H20" s="39" t="s">
        <v>10</v>
      </c>
      <c r="I20" s="39" t="s">
        <v>11</v>
      </c>
      <c r="J20" s="14"/>
      <c r="K20" s="11"/>
      <c r="L20" s="11" t="s">
        <v>4</v>
      </c>
      <c r="M20" s="11"/>
      <c r="N20" s="11"/>
      <c r="O20" s="11" t="s">
        <v>35</v>
      </c>
      <c r="P20" s="11"/>
      <c r="Q20" s="11"/>
      <c r="R20" s="11" t="s">
        <v>4</v>
      </c>
      <c r="S20" s="11" t="s">
        <v>11</v>
      </c>
      <c r="T20" s="11"/>
      <c r="U20" s="11"/>
      <c r="V20" s="11" t="s">
        <v>4</v>
      </c>
      <c r="W20" s="11" t="s">
        <v>11</v>
      </c>
      <c r="X20" s="11"/>
      <c r="Y20" s="11" t="s">
        <v>4</v>
      </c>
      <c r="Z20" s="11" t="s">
        <v>11</v>
      </c>
      <c r="AA20" s="11"/>
      <c r="AB20" s="11"/>
      <c r="AC20" s="11" t="s">
        <v>4</v>
      </c>
      <c r="AD20" s="11" t="s">
        <v>11</v>
      </c>
      <c r="AE20" s="11" t="s">
        <v>9</v>
      </c>
      <c r="AF20" s="11"/>
      <c r="AG20" s="11" t="s">
        <v>4</v>
      </c>
      <c r="AH20" s="11" t="s">
        <v>11</v>
      </c>
      <c r="AI20" s="11" t="s">
        <v>9</v>
      </c>
      <c r="AJ20" s="11"/>
      <c r="AK20" s="11" t="s">
        <v>4</v>
      </c>
      <c r="AL20" s="11" t="s">
        <v>11</v>
      </c>
      <c r="AM20" s="11" t="s">
        <v>9</v>
      </c>
      <c r="AN20" s="11"/>
      <c r="AO20" s="213" t="s">
        <v>4</v>
      </c>
      <c r="AP20" s="213" t="s">
        <v>11</v>
      </c>
      <c r="AQ20" s="213" t="s">
        <v>9</v>
      </c>
      <c r="AR20" s="12"/>
      <c r="AS20" s="12"/>
      <c r="AT20" s="12"/>
      <c r="AU20" s="12"/>
    </row>
    <row r="21" spans="1:47">
      <c r="A21" s="40" t="str">
        <f>time!C1</f>
        <v>Argentina</v>
      </c>
      <c r="B21" s="41">
        <f>IF(Copa=FIFA,SUM(D21*3)+E21,0)</f>
        <v>7</v>
      </c>
      <c r="C21" s="42">
        <f>COUNT(Tabela!G22,Tabela!G25,Tabela!I26)</f>
        <v>3</v>
      </c>
      <c r="D21" s="42">
        <f>SUM(IF(Tabela!$G$22&gt;Tabela!$I$22,COUNT(Tabela!$G$22)),IF(Tabela!$G$25&gt;Tabela!$I$25,COUNT(Tabela!$G$25)),IF(Tabela!$I$26&gt;Tabela!$G$26,COUNT(Tabela!$I$26)))</f>
        <v>2</v>
      </c>
      <c r="E21" s="42">
        <f>SUM(IF(Tabela!$G$22=Tabela!$I$22,COUNT(Tabela!$G$22)),IF(Tabela!$G$25=Tabela!$I$25,COUNT(Tabela!$G$25)),IF(Tabela!$I$26=Tabela!$G$26,COUNT(Tabela!$I$26)))</f>
        <v>1</v>
      </c>
      <c r="F21" s="42">
        <f>SUM(IF(Tabela!$G$22&lt;Tabela!$I$22,COUNT(Tabela!$G$22)),IF(Tabela!$G$25&lt;Tabela!$I$25,COUNT(Tabela!$G$25)),IF(Tabela!$I$26&lt;Tabela!$G$26,COUNT(Tabela!$I$26)))</f>
        <v>0</v>
      </c>
      <c r="G21" s="42">
        <f>SUM(Tabela!G22+Tabela!G25+Tabela!I26)</f>
        <v>7</v>
      </c>
      <c r="H21" s="42">
        <f>SUM(Tabela!I22+Tabela!I25+Tabela!G26)</f>
        <v>3</v>
      </c>
      <c r="I21" s="42">
        <f>IF(BR20I4=Tabela!C2,SUM(G21-H21),"X")</f>
        <v>4</v>
      </c>
      <c r="J21" s="13"/>
      <c r="K21" s="11" t="str">
        <f>IF(B21&gt;=B22,A21,A22)</f>
        <v>Argentina</v>
      </c>
      <c r="L21" s="11">
        <f>VLOOKUP(K21,$A$21:$I$24,2,FALSE)</f>
        <v>7</v>
      </c>
      <c r="M21" s="11"/>
      <c r="N21" s="11" t="str">
        <f>IF(L21&gt;=L23,K21,K23)</f>
        <v>Argentina</v>
      </c>
      <c r="O21" s="11">
        <f>VLOOKUP(N21,$A$21:$I$24,2,FALSE)</f>
        <v>7</v>
      </c>
      <c r="P21" s="11"/>
      <c r="Q21" s="11" t="str">
        <f>IF(O21&gt;=O24,N21,N24)</f>
        <v>Argentina</v>
      </c>
      <c r="R21" s="11">
        <f>VLOOKUP(Q21,$A$21:$I$24,2,FALSE)</f>
        <v>7</v>
      </c>
      <c r="S21" s="11">
        <f>VLOOKUP(Q21,$A$21:$I$24,9,FALSE)</f>
        <v>4</v>
      </c>
      <c r="T21" s="11"/>
      <c r="U21" s="11" t="str">
        <f>IF(AND(R21=R22,S22&gt;S21),Q22,Q21)</f>
        <v>Argentina</v>
      </c>
      <c r="V21" s="11">
        <f>VLOOKUP(U21,$A$21:$I$24,2,FALSE)</f>
        <v>7</v>
      </c>
      <c r="W21" s="11">
        <f>VLOOKUP(U21,$A$21:$I$24,9,FALSE)</f>
        <v>4</v>
      </c>
      <c r="X21" s="11" t="str">
        <f>IF(AND(V21=V23,W23&gt;W21),U23,U21)</f>
        <v>Argentina</v>
      </c>
      <c r="Y21" s="11">
        <f>VLOOKUP(X21,$A$21:$I$24,2,FALSE)</f>
        <v>7</v>
      </c>
      <c r="Z21" s="11">
        <f>VLOOKUP(X21,$A$21:$I$24,9,FALSE)</f>
        <v>4</v>
      </c>
      <c r="AA21" s="11"/>
      <c r="AB21" s="11" t="str">
        <f>IF(AND(Y21=Y24,Z24&gt;Z21),X24,X21)</f>
        <v>Argentina</v>
      </c>
      <c r="AC21" s="11">
        <f>VLOOKUP(AB21,$A$21:$I$24,2,FALSE)</f>
        <v>7</v>
      </c>
      <c r="AD21" s="11">
        <f>VLOOKUP(AB21,$A$21:$I$24,9,FALSE)</f>
        <v>4</v>
      </c>
      <c r="AE21" s="11">
        <f>VLOOKUP(AB21,$A$21:$I$24,7,FALSE)</f>
        <v>7</v>
      </c>
      <c r="AF21" s="11" t="str">
        <f>IF(AND(AC21=AC22,AD21=AD22,AE22&gt;AE21),AB22,AB21)</f>
        <v>Argentina</v>
      </c>
      <c r="AG21" s="11">
        <f>VLOOKUP(AF21,$A$21:$I$24,2,FALSE)</f>
        <v>7</v>
      </c>
      <c r="AH21" s="11">
        <f>VLOOKUP(AF21,$A$21:$I$24,9,FALSE)</f>
        <v>4</v>
      </c>
      <c r="AI21" s="11">
        <f>VLOOKUP(AF21,$A$21:$I$24,7,FALSE)</f>
        <v>7</v>
      </c>
      <c r="AJ21" s="11" t="str">
        <f>IF(AND(AG21=AG23,AH21=AH23,AI23&gt;AI21),AF23,AF21)</f>
        <v>Argentina</v>
      </c>
      <c r="AK21" s="11">
        <f>VLOOKUP(AJ21,$A$21:$I$24,2,FALSE)</f>
        <v>7</v>
      </c>
      <c r="AL21" s="11">
        <f>VLOOKUP(AJ21,$A$21:$I$24,9,FALSE)</f>
        <v>4</v>
      </c>
      <c r="AM21" s="11">
        <f>VLOOKUP(AJ21,$A$21:$I$24,7,FALSE)</f>
        <v>7</v>
      </c>
      <c r="AN21" s="11" t="str">
        <f>IF(AND(AK21=AK24,AL21=AL24,AM24&gt;AM21),AJ24,AJ21)</f>
        <v>Argentina</v>
      </c>
      <c r="AO21" s="213">
        <f>VLOOKUP(AN21,$A$21:$I$24,2,FALSE)</f>
        <v>7</v>
      </c>
      <c r="AP21" s="213">
        <f>IF(Tabela!N2="www.guiadecompra.com",VLOOKUP(AN21,$A$21:$I$24,9,FALSE),0)</f>
        <v>4</v>
      </c>
      <c r="AQ21" s="213">
        <f>VLOOKUP(AN21,$A$21:$I$24,7,FALSE)</f>
        <v>7</v>
      </c>
      <c r="AR21" s="12"/>
      <c r="AS21" s="12"/>
      <c r="AT21" s="12"/>
      <c r="AU21" s="12"/>
    </row>
    <row r="22" spans="1:47">
      <c r="A22" s="40" t="str">
        <f>time!C2</f>
        <v>Arábia Saudita</v>
      </c>
      <c r="B22" s="41">
        <f>IF(Copa=FIFA,SUM(D22*3)+E22,0)</f>
        <v>0</v>
      </c>
      <c r="C22" s="42">
        <f>COUNT(Tabela!I22,Tabela!I24,Tabela!G27)</f>
        <v>3</v>
      </c>
      <c r="D22" s="42">
        <f>SUM(IF(Tabela!$I$22&gt;Tabela!$G$22,COUNT(Tabela!$I$22)),IF(Tabela!$I$24&gt;Tabela!$G$24,COUNT(Tabela!$I$24)),IF(Tabela!$G$27&gt;Tabela!$I$27,COUNT(Tabela!$G$27)))</f>
        <v>0</v>
      </c>
      <c r="E22" s="42">
        <f>SUM(IF(Tabela!$I$22=Tabela!$G$22,COUNT(Tabela!$I$22)),IF(Tabela!$I$24=Tabela!$G$24,COUNT(Tabela!$I$24)),IF(Tabela!$G$27=Tabela!$I$27,COUNT(Tabela!$G$27)))</f>
        <v>0</v>
      </c>
      <c r="F22" s="42">
        <f>SUM(IF(Tabela!$I$22&lt;Tabela!$G$22,COUNT(Tabela!$I$22)),IF(Tabela!$I$24&lt;Tabela!$G$24,COUNT(Tabela!$I$24)),IF(Tabela!$G$27&lt;Tabela!$I$27,COUNT(Tabela!$G$27)))</f>
        <v>3</v>
      </c>
      <c r="G22" s="42">
        <f>SUM(Tabela!I22+Tabela!I24+Tabela!G27)</f>
        <v>1</v>
      </c>
      <c r="H22" s="42">
        <f>SUM(Tabela!G22+Tabela!G24+Tabela!I27)</f>
        <v>6</v>
      </c>
      <c r="I22" s="42">
        <f>IF(BR20I4=Tabela!C2,SUM(G22-H22),"X")</f>
        <v>-5</v>
      </c>
      <c r="J22" s="13"/>
      <c r="K22" s="11" t="str">
        <f>IF(B22&lt;=B21,A22,A21)</f>
        <v>Arábia Saudita</v>
      </c>
      <c r="L22" s="11">
        <f>VLOOKUP(K22,$A$21:$I$24,2,FALSE)</f>
        <v>0</v>
      </c>
      <c r="M22" s="11"/>
      <c r="N22" s="11" t="str">
        <f>IF(L22&gt;=L24,K22,K24)</f>
        <v>México</v>
      </c>
      <c r="O22" s="11">
        <f>VLOOKUP(N22,$A$21:$I$24,2,FALSE)</f>
        <v>3</v>
      </c>
      <c r="P22" s="11"/>
      <c r="Q22" s="11" t="str">
        <f>IF(O22&gt;=O23,N22,N23)</f>
        <v>Polônia</v>
      </c>
      <c r="R22" s="11">
        <f>VLOOKUP(Q22,$A$21:$I$24,2,FALSE)</f>
        <v>7</v>
      </c>
      <c r="S22" s="11">
        <f>VLOOKUP(Q22,$A$21:$I$24,9,FALSE)</f>
        <v>2</v>
      </c>
      <c r="T22" s="11"/>
      <c r="U22" s="11" t="str">
        <f>IF(AND(R21=R22,S22&gt;S21),Q21,Q22)</f>
        <v>Polônia</v>
      </c>
      <c r="V22" s="11">
        <f>VLOOKUP(U22,$A$21:$I$24,2,FALSE)</f>
        <v>7</v>
      </c>
      <c r="W22" s="11">
        <f>VLOOKUP(U22,$A$21:$I$24,9,FALSE)</f>
        <v>2</v>
      </c>
      <c r="X22" s="11" t="str">
        <f>IF(AND(V22=V24,W24&gt;W22),U24,U22)</f>
        <v>Polônia</v>
      </c>
      <c r="Y22" s="11">
        <f>VLOOKUP(X22,$A$21:$I$24,2,FALSE)</f>
        <v>7</v>
      </c>
      <c r="Z22" s="11">
        <f>VLOOKUP(X22,$A$21:$I$24,9,FALSE)</f>
        <v>2</v>
      </c>
      <c r="AA22" s="11"/>
      <c r="AB22" s="11" t="str">
        <f>IF(AND(Y22=Y23,Z23&gt;Z22),X23,X22)</f>
        <v>Polônia</v>
      </c>
      <c r="AC22" s="11">
        <f>VLOOKUP(AB22,$A$21:$I$24,2,FALSE)</f>
        <v>7</v>
      </c>
      <c r="AD22" s="11">
        <f>VLOOKUP(AB22,$A$21:$I$24,9,FALSE)</f>
        <v>2</v>
      </c>
      <c r="AE22" s="11">
        <f>VLOOKUP(AB22,$A$21:$I$24,7,FALSE)</f>
        <v>7</v>
      </c>
      <c r="AF22" s="11" t="str">
        <f>IF(AND(AC22=AC21,AD22=AD21,AE22&gt;AE21),AB21,AB22)</f>
        <v>Polônia</v>
      </c>
      <c r="AG22" s="11">
        <f>VLOOKUP(AF22,$A$21:$I$24,2,FALSE)</f>
        <v>7</v>
      </c>
      <c r="AH22" s="11">
        <f>VLOOKUP(AF22,$A$21:$I$24,9,FALSE)</f>
        <v>2</v>
      </c>
      <c r="AI22" s="11">
        <f>VLOOKUP(AF22,$A$21:$I$24,7,FALSE)</f>
        <v>7</v>
      </c>
      <c r="AJ22" s="11" t="str">
        <f>IF(AND(AG22=AG24,AH22=AH24,AI24&gt;AI22),AF24,AF22)</f>
        <v>Polônia</v>
      </c>
      <c r="AK22" s="11">
        <f>VLOOKUP(AJ22,$A$21:$I$24,2,FALSE)</f>
        <v>7</v>
      </c>
      <c r="AL22" s="11">
        <f>VLOOKUP(AJ22,$A$21:$I$24,9,FALSE)</f>
        <v>2</v>
      </c>
      <c r="AM22" s="11">
        <f>VLOOKUP(AJ22,$A$21:$I$24,7,FALSE)</f>
        <v>7</v>
      </c>
      <c r="AN22" s="11" t="str">
        <f>IF(AND(AK22=AK23,AL22=AL23,AM23&gt;AM22),AJ23,AJ22)</f>
        <v>Polônia</v>
      </c>
      <c r="AO22" s="213">
        <f>VLOOKUP(AN22,$A$21:$I$24,2,FALSE)</f>
        <v>7</v>
      </c>
      <c r="AP22" s="213">
        <f>IF(Tabela!N2="www.guiadecompra.com",VLOOKUP(AN22,$A$21:$I$24,9,FALSE),0)</f>
        <v>2</v>
      </c>
      <c r="AQ22" s="213">
        <f>VLOOKUP(AN22,$A$21:$I$24,7,FALSE)</f>
        <v>7</v>
      </c>
      <c r="AR22" s="12"/>
      <c r="AS22" s="12"/>
      <c r="AT22" s="12"/>
      <c r="AU22" s="12"/>
    </row>
    <row r="23" spans="1:47">
      <c r="A23" s="40" t="str">
        <f>time!C3</f>
        <v>México</v>
      </c>
      <c r="B23" s="41">
        <f>IF(Copa=FIFA,SUM(D23*3)+E23,0)</f>
        <v>3</v>
      </c>
      <c r="C23" s="42">
        <f>COUNT(Tabela!G23,Tabela!I25,Tabela!I27)</f>
        <v>3</v>
      </c>
      <c r="D23" s="42">
        <f>SUM(IF(Tabela!$G$23&gt;Tabela!$I$23,COUNT(Tabela!$G$23)),IF(Tabela!$I$25&gt;Tabela!$G$25,COUNT(Tabela!$I$25)),IF(Tabela!$I$27&gt;Tabela!$G$27,COUNT(Tabela!$I$27)))</f>
        <v>1</v>
      </c>
      <c r="E23" s="42">
        <f>SUM(IF(Tabela!$G$23=Tabela!$I$23,COUNT(Tabela!$G$23)),IF(Tabela!$I$25=Tabela!$G$25,COUNT(Tabela!$I$25)),IF(Tabela!$I$27=Tabela!$G$27,COUNT(Tabela!$I$27)))</f>
        <v>0</v>
      </c>
      <c r="F23" s="42">
        <f>SUM(IF(Tabela!$G$23&lt;Tabela!$I$23,COUNT(Tabela!$G$23)),IF(Tabela!$I$25&lt;Tabela!$G$25,COUNT(Tabela!$I$25)),IF(Tabela!$I$27&lt;Tabela!$G$27,COUNT(Tabela!$I$27)))</f>
        <v>2</v>
      </c>
      <c r="G23" s="42">
        <f>SUM(Tabela!G23+Tabela!I25+Tabela!I27)</f>
        <v>4</v>
      </c>
      <c r="H23" s="42">
        <f>SUM(Tabela!I23+Tabela!G25+Tabela!G27)</f>
        <v>5</v>
      </c>
      <c r="I23" s="42">
        <f>IF(BR20I4=Tabela!C2,SUM(G23-H23),"X")</f>
        <v>-1</v>
      </c>
      <c r="J23" s="13"/>
      <c r="K23" s="11" t="str">
        <f>IF(B23&gt;=B24,A23,A24)</f>
        <v>Polônia</v>
      </c>
      <c r="L23" s="11">
        <f>VLOOKUP(K23,$A$21:$I$24,2,FALSE)</f>
        <v>7</v>
      </c>
      <c r="M23" s="11"/>
      <c r="N23" s="11" t="str">
        <f>IF(L23&lt;=L21,K23,K21)</f>
        <v>Polônia</v>
      </c>
      <c r="O23" s="11">
        <f>VLOOKUP(N23,$A$21:$I$24,2,FALSE)</f>
        <v>7</v>
      </c>
      <c r="P23" s="11"/>
      <c r="Q23" s="11" t="str">
        <f>IF(O23&lt;=O22,N23,N22)</f>
        <v>México</v>
      </c>
      <c r="R23" s="11">
        <f>VLOOKUP(Q23,$A$21:$I$24,2,FALSE)</f>
        <v>3</v>
      </c>
      <c r="S23" s="11">
        <f>VLOOKUP(Q23,$A$21:$I$24,9,FALSE)</f>
        <v>-1</v>
      </c>
      <c r="T23" s="11"/>
      <c r="U23" s="11" t="str">
        <f>IF(AND(R23=R24,S24&gt;S23),Q24,Q23)</f>
        <v>México</v>
      </c>
      <c r="V23" s="11">
        <f>VLOOKUP(U23,$A$21:$I$24,2,FALSE)</f>
        <v>3</v>
      </c>
      <c r="W23" s="11">
        <f>VLOOKUP(U23,$A$21:$I$24,9,FALSE)</f>
        <v>-1</v>
      </c>
      <c r="X23" s="11" t="str">
        <f>IF(AND(V21=V23,W23&gt;W21),U21,U23)</f>
        <v>México</v>
      </c>
      <c r="Y23" s="11">
        <f>VLOOKUP(X23,$A$21:$I$24,2,FALSE)</f>
        <v>3</v>
      </c>
      <c r="Z23" s="11">
        <f>VLOOKUP(X23,$A$21:$I$24,9,FALSE)</f>
        <v>-1</v>
      </c>
      <c r="AA23" s="11"/>
      <c r="AB23" s="11" t="str">
        <f>IF(AND(Y23=Y22,Z23&gt;Z22),X22,X23)</f>
        <v>México</v>
      </c>
      <c r="AC23" s="11">
        <f>VLOOKUP(AB23,$A$21:$I$24,2,FALSE)</f>
        <v>3</v>
      </c>
      <c r="AD23" s="11">
        <f>VLOOKUP(AB23,$A$21:$I$24,9,FALSE)</f>
        <v>-1</v>
      </c>
      <c r="AE23" s="11">
        <f>VLOOKUP(AB23,$A$21:$I$24,7,FALSE)</f>
        <v>4</v>
      </c>
      <c r="AF23" s="11" t="str">
        <f>IF(AND(AC23=AC24,AD23=AD24,AE24&gt;AE23),AB24,AB23)</f>
        <v>México</v>
      </c>
      <c r="AG23" s="11">
        <f>VLOOKUP(AF23,$A$21:$I$24,2,FALSE)</f>
        <v>3</v>
      </c>
      <c r="AH23" s="11">
        <f>VLOOKUP(AF23,$A$21:$I$24,9,FALSE)</f>
        <v>-1</v>
      </c>
      <c r="AI23" s="11">
        <f>VLOOKUP(AF23,$A$21:$I$24,7,FALSE)</f>
        <v>4</v>
      </c>
      <c r="AJ23" s="11" t="str">
        <f>IF(AND(AG23=AG21,AH23=AH21,AI23&gt;AI21),AF21,AF23)</f>
        <v>México</v>
      </c>
      <c r="AK23" s="11">
        <f>VLOOKUP(AJ23,$A$21:$I$24,2,FALSE)</f>
        <v>3</v>
      </c>
      <c r="AL23" s="11">
        <f>VLOOKUP(AJ23,$A$21:$I$24,9,FALSE)</f>
        <v>-1</v>
      </c>
      <c r="AM23" s="11">
        <f>VLOOKUP(AJ23,$A$21:$I$24,7,FALSE)</f>
        <v>4</v>
      </c>
      <c r="AN23" s="11" t="str">
        <f>IF(AND(AK23=AK22,AL23=AL22,AM23&gt;AM22),AJ22,AJ23)</f>
        <v>México</v>
      </c>
      <c r="AO23" s="213">
        <f>VLOOKUP(AN23,$A$21:$I$24,2,FALSE)</f>
        <v>3</v>
      </c>
      <c r="AP23" s="213">
        <f>IF(Tabela!N2="www.guiadecompra.com",VLOOKUP(AN23,$A$21:$I$24,9,FALSE),0)</f>
        <v>-1</v>
      </c>
      <c r="AQ23" s="213">
        <f>VLOOKUP(AN23,$A$21:$I$24,7,FALSE)</f>
        <v>4</v>
      </c>
      <c r="AR23" s="12"/>
      <c r="AS23" s="12"/>
      <c r="AT23" s="12"/>
      <c r="AU23" s="12"/>
    </row>
    <row r="24" spans="1:47">
      <c r="A24" s="40" t="str">
        <f>time!C4</f>
        <v>Polônia</v>
      </c>
      <c r="B24" s="41">
        <f>IF(Copa=FIFA,SUM(D24*3)+E24,0)</f>
        <v>7</v>
      </c>
      <c r="C24" s="42">
        <f>COUNT(Tabela!I23,Tabela!G24,Tabela!G26)</f>
        <v>3</v>
      </c>
      <c r="D24" s="42">
        <f>SUM(IF(Tabela!$I$23&gt;Tabela!$G$23,COUNT(Tabela!$I$23)),IF(Tabela!$G$24&gt;Tabela!$I$24,COUNT(Tabela!$G$24)),IF(Tabela!$G$26&gt;Tabela!$I$26,COUNT(Tabela!$G$26)))</f>
        <v>2</v>
      </c>
      <c r="E24" s="42">
        <f>SUM(IF(Tabela!$I$23=Tabela!$G$23,COUNT(Tabela!$I$23)),IF(Tabela!$G$24=Tabela!$I$24,COUNT(Tabela!$G$24)),IF(Tabela!$G$26=Tabela!$I$26,COUNT(Tabela!$G$26)))</f>
        <v>1</v>
      </c>
      <c r="F24" s="42">
        <f>SUM(IF(Tabela!$I$23&lt;Tabela!$G$23,COUNT(Tabela!$I$23)),IF(Tabela!$G$24&lt;Tabela!$I$24,COUNT(Tabela!$G$24)),IF(Tabela!$G$26&lt;Tabela!$I$26,COUNT(Tabela!$G$26)))</f>
        <v>0</v>
      </c>
      <c r="G24" s="42">
        <f>SUM(Tabela!I23+Tabela!G24+Tabela!G26)</f>
        <v>7</v>
      </c>
      <c r="H24" s="42">
        <f>SUM(Tabela!G23+Tabela!I24+Tabela!I26)</f>
        <v>5</v>
      </c>
      <c r="I24" s="42">
        <f>IF(BR20I4=Tabela!C2,SUM(G24-H24),"X")</f>
        <v>2</v>
      </c>
      <c r="J24" s="13"/>
      <c r="K24" s="11" t="str">
        <f>IF(B24&lt;=B23,A24,A23)</f>
        <v>México</v>
      </c>
      <c r="L24" s="11">
        <f>VLOOKUP(K24,$A$21:$I$24,2,FALSE)</f>
        <v>3</v>
      </c>
      <c r="M24" s="11"/>
      <c r="N24" s="11" t="str">
        <f>IF(L24&lt;=L22,K24,K22)</f>
        <v>Arábia Saudita</v>
      </c>
      <c r="O24" s="11">
        <f>VLOOKUP(N24,$A$21:$I$24,2,FALSE)</f>
        <v>0</v>
      </c>
      <c r="P24" s="11"/>
      <c r="Q24" s="11" t="str">
        <f>IF(O24&lt;=O21,N24,N21)</f>
        <v>Arábia Saudita</v>
      </c>
      <c r="R24" s="11">
        <f>VLOOKUP(Q24,$A$21:$I$24,2,FALSE)</f>
        <v>0</v>
      </c>
      <c r="S24" s="11">
        <f>VLOOKUP(Q24,$A$21:$I$24,9,FALSE)</f>
        <v>-5</v>
      </c>
      <c r="T24" s="11"/>
      <c r="U24" s="11" t="str">
        <f>IF(AND(R23=R24,S24&gt;S23),Q23,Q24)</f>
        <v>Arábia Saudita</v>
      </c>
      <c r="V24" s="11">
        <f>VLOOKUP(U24,$A$21:$I$24,2,FALSE)</f>
        <v>0</v>
      </c>
      <c r="W24" s="11">
        <f>VLOOKUP(U24,$A$21:$I$24,9,FALSE)</f>
        <v>-5</v>
      </c>
      <c r="X24" s="11" t="str">
        <f>IF(AND(V22=V24,W24&gt;W22),U22,U24)</f>
        <v>Arábia Saudita</v>
      </c>
      <c r="Y24" s="11">
        <f>VLOOKUP(X24,$A$21:$I$24,2,FALSE)</f>
        <v>0</v>
      </c>
      <c r="Z24" s="11">
        <f>VLOOKUP(X24,$A$21:$I$24,9,FALSE)</f>
        <v>-5</v>
      </c>
      <c r="AA24" s="11"/>
      <c r="AB24" s="11" t="str">
        <f>IF(AND(Y24=Y21,Z24&gt;Z21),X21,X24)</f>
        <v>Arábia Saudita</v>
      </c>
      <c r="AC24" s="11">
        <f>VLOOKUP(AB24,$A$21:$I$24,2,FALSE)</f>
        <v>0</v>
      </c>
      <c r="AD24" s="11">
        <f>VLOOKUP(AB24,$A$21:$I$24,9,FALSE)</f>
        <v>-5</v>
      </c>
      <c r="AE24" s="11">
        <f>VLOOKUP(AB24,$A$21:$I$24,7,FALSE)</f>
        <v>1</v>
      </c>
      <c r="AF24" s="11" t="str">
        <f>IF(AND(AC24=AC23,AD24=AD23,AE24&gt;AE23),X23,X24)</f>
        <v>Arábia Saudita</v>
      </c>
      <c r="AG24" s="11">
        <f>VLOOKUP(AF24,$A$21:$I$24,2,FALSE)</f>
        <v>0</v>
      </c>
      <c r="AH24" s="11">
        <f>VLOOKUP(AF24,$A$21:$I$24,9,FALSE)</f>
        <v>-5</v>
      </c>
      <c r="AI24" s="11">
        <f>VLOOKUP(AF24,$A$21:$I$24,7,FALSE)</f>
        <v>1</v>
      </c>
      <c r="AJ24" s="11" t="str">
        <f>IF(AND(AG22=AG24,AH22=AH24,AI24&gt;AI22),AF22,AF24)</f>
        <v>Arábia Saudita</v>
      </c>
      <c r="AK24" s="11">
        <f>VLOOKUP(AJ24,$A$21:$I$24,2,FALSE)</f>
        <v>0</v>
      </c>
      <c r="AL24" s="11">
        <f>VLOOKUP(AJ24,$A$21:$I$24,9,FALSE)</f>
        <v>-5</v>
      </c>
      <c r="AM24" s="11">
        <f>VLOOKUP(AJ24,$A$21:$I$24,7,FALSE)</f>
        <v>1</v>
      </c>
      <c r="AN24" s="11" t="str">
        <f>IF(AND(AK24=AK21,AL24=AL21,AM24&gt;AM21),AJ21,AJ24)</f>
        <v>Arábia Saudita</v>
      </c>
      <c r="AO24" s="213">
        <f>VLOOKUP(AN24,$A$21:$I$24,2,FALSE)</f>
        <v>0</v>
      </c>
      <c r="AP24" s="213">
        <f>IF(Tabela!N2="www.guiadecompra.com",VLOOKUP(AN24,$A$21:$I$24,9,FALSE),0)</f>
        <v>-5</v>
      </c>
      <c r="AQ24" s="213">
        <f>VLOOKUP(AN24,$A$21:$I$24,7,FALSE)</f>
        <v>1</v>
      </c>
      <c r="AR24" s="12"/>
      <c r="AS24" s="12"/>
      <c r="AT24" s="12"/>
      <c r="AU24" s="12"/>
    </row>
    <row r="25" spans="1:47">
      <c r="A25" s="5"/>
      <c r="B25" s="7"/>
      <c r="C25" s="7"/>
      <c r="D25" s="7"/>
      <c r="E25" s="7"/>
      <c r="F25" s="7"/>
      <c r="G25" s="7"/>
      <c r="H25" s="7"/>
      <c r="I25" s="7"/>
      <c r="J25" s="7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213"/>
      <c r="AP25" s="213"/>
      <c r="AQ25" s="213"/>
      <c r="AR25" s="12"/>
      <c r="AS25" s="12"/>
      <c r="AT25" s="12"/>
      <c r="AU25" s="12"/>
    </row>
    <row r="26" spans="1:47">
      <c r="A26" s="5"/>
      <c r="B26" s="7"/>
      <c r="C26" s="7"/>
      <c r="D26" s="7"/>
      <c r="E26" s="7"/>
      <c r="F26" s="7"/>
      <c r="G26" s="7"/>
      <c r="H26" s="7"/>
      <c r="I26" s="7"/>
      <c r="J26" s="7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213"/>
      <c r="AP26" s="213"/>
      <c r="AQ26" s="213"/>
      <c r="AR26" s="12"/>
      <c r="AS26" s="12"/>
      <c r="AT26" s="12"/>
      <c r="AU26" s="12"/>
    </row>
    <row r="27" spans="1:47">
      <c r="A27" s="5"/>
      <c r="B27" s="417" t="s">
        <v>38</v>
      </c>
      <c r="C27" s="417"/>
      <c r="D27" s="417"/>
      <c r="E27" s="417"/>
      <c r="F27" s="417"/>
      <c r="G27" s="417"/>
      <c r="H27" s="417"/>
      <c r="I27" s="417"/>
      <c r="J27" s="7"/>
      <c r="K27" s="11" t="s">
        <v>31</v>
      </c>
      <c r="L27" s="11"/>
      <c r="M27" s="11"/>
      <c r="N27" s="11" t="s">
        <v>32</v>
      </c>
      <c r="O27" s="11"/>
      <c r="P27" s="11"/>
      <c r="Q27" s="11" t="s">
        <v>33</v>
      </c>
      <c r="R27" s="11"/>
      <c r="S27" s="11"/>
      <c r="T27" s="11"/>
      <c r="U27" s="11" t="s">
        <v>33</v>
      </c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213"/>
      <c r="AP27" s="213"/>
      <c r="AQ27" s="213"/>
      <c r="AR27" s="12"/>
      <c r="AS27" s="12"/>
      <c r="AT27" s="12"/>
      <c r="AU27" s="12"/>
    </row>
    <row r="28" spans="1:47">
      <c r="A28" s="37" t="s">
        <v>34</v>
      </c>
      <c r="B28" s="38" t="s">
        <v>4</v>
      </c>
      <c r="C28" s="39" t="s">
        <v>5</v>
      </c>
      <c r="D28" s="39" t="s">
        <v>6</v>
      </c>
      <c r="E28" s="39" t="s">
        <v>7</v>
      </c>
      <c r="F28" s="39" t="s">
        <v>8</v>
      </c>
      <c r="G28" s="39" t="s">
        <v>9</v>
      </c>
      <c r="H28" s="39" t="s">
        <v>10</v>
      </c>
      <c r="I28" s="39" t="s">
        <v>11</v>
      </c>
      <c r="J28" s="14"/>
      <c r="K28" s="11"/>
      <c r="L28" s="11" t="s">
        <v>4</v>
      </c>
      <c r="M28" s="11"/>
      <c r="N28" s="11"/>
      <c r="O28" s="11" t="s">
        <v>35</v>
      </c>
      <c r="P28" s="11"/>
      <c r="Q28" s="11"/>
      <c r="R28" s="11" t="s">
        <v>4</v>
      </c>
      <c r="S28" s="11" t="s">
        <v>11</v>
      </c>
      <c r="T28" s="11"/>
      <c r="U28" s="11"/>
      <c r="V28" s="11" t="s">
        <v>4</v>
      </c>
      <c r="W28" s="11" t="s">
        <v>11</v>
      </c>
      <c r="X28" s="11"/>
      <c r="Y28" s="11" t="s">
        <v>4</v>
      </c>
      <c r="Z28" s="11" t="s">
        <v>11</v>
      </c>
      <c r="AA28" s="11"/>
      <c r="AB28" s="11"/>
      <c r="AC28" s="11" t="s">
        <v>4</v>
      </c>
      <c r="AD28" s="11" t="s">
        <v>11</v>
      </c>
      <c r="AE28" s="11" t="s">
        <v>9</v>
      </c>
      <c r="AF28" s="11"/>
      <c r="AG28" s="11" t="s">
        <v>4</v>
      </c>
      <c r="AH28" s="11" t="s">
        <v>11</v>
      </c>
      <c r="AI28" s="11" t="s">
        <v>9</v>
      </c>
      <c r="AJ28" s="11"/>
      <c r="AK28" s="11" t="s">
        <v>4</v>
      </c>
      <c r="AL28" s="11" t="s">
        <v>11</v>
      </c>
      <c r="AM28" s="11" t="s">
        <v>9</v>
      </c>
      <c r="AN28" s="11"/>
      <c r="AO28" s="213" t="s">
        <v>4</v>
      </c>
      <c r="AP28" s="213" t="s">
        <v>11</v>
      </c>
      <c r="AQ28" s="213" t="s">
        <v>9</v>
      </c>
      <c r="AR28" s="12"/>
      <c r="AS28" s="12"/>
      <c r="AT28" s="12"/>
      <c r="AU28" s="12"/>
    </row>
    <row r="29" spans="1:47">
      <c r="A29" s="40" t="str">
        <f>time!D1</f>
        <v>França</v>
      </c>
      <c r="B29" s="41">
        <f>IF(Copa=FIFA,SUM(D29*3)+E29,0)</f>
        <v>7</v>
      </c>
      <c r="C29" s="42">
        <f>COUNT(Tabela!G31,Tabela!G33,Tabela!I34)</f>
        <v>3</v>
      </c>
      <c r="D29" s="42">
        <f>SUM(IF(Tabela!$G$31&gt;Tabela!$I$31,COUNT(Tabela!$G$31)),IF(Tabela!$G$33&gt;Tabela!$I$33,COUNT(Tabela!$G$33)),IF(Tabela!$I$34&gt;Tabela!$G$34,COUNT(Tabela!$I$34)))</f>
        <v>2</v>
      </c>
      <c r="E29" s="42">
        <f>SUM(IF(Tabela!$G$31=Tabela!$I$31,COUNT(Tabela!$G$31)),IF(Tabela!$G$33=Tabela!$I$33,COUNT(Tabela!$G$33)),IF(Tabela!$I$34=Tabela!$G$34,COUNT(Tabela!$I$34)))</f>
        <v>1</v>
      </c>
      <c r="F29" s="42">
        <f>SUM(IF(Tabela!$G$31&lt;Tabela!$I$31,COUNT(Tabela!$G$31)),IF(Tabela!$G$33&lt;Tabela!$I$33,COUNT(Tabela!$G$33)),IF(Tabela!$I$34&lt;Tabela!$G$34,COUNT(Tabela!$I$34)))</f>
        <v>0</v>
      </c>
      <c r="G29" s="42">
        <f>SUM(Tabela!G31+Tabela!G33+Tabela!I34)</f>
        <v>7</v>
      </c>
      <c r="H29" s="42">
        <f>SUM(Tabela!I31+Tabela!I33+Tabela!G34)</f>
        <v>3</v>
      </c>
      <c r="I29" s="42">
        <f>IF(BR20I4=Tabela!C2,SUM(G29-H29),"X")</f>
        <v>4</v>
      </c>
      <c r="J29" s="13"/>
      <c r="K29" s="11" t="str">
        <f>IF(B29&gt;=B30,A29,A30)</f>
        <v>França</v>
      </c>
      <c r="L29" s="11">
        <f>VLOOKUP(K29,$A$29:$I$32,2,FALSE)</f>
        <v>7</v>
      </c>
      <c r="M29" s="11"/>
      <c r="N29" s="11" t="str">
        <f>IF(L29&gt;=L31,K29,K31)</f>
        <v>França</v>
      </c>
      <c r="O29" s="11">
        <f>VLOOKUP(N29,$A$29:$I$32,2,FALSE)</f>
        <v>7</v>
      </c>
      <c r="P29" s="11"/>
      <c r="Q29" s="11" t="str">
        <f>IF(O29&gt;=O32,N29,N32)</f>
        <v>França</v>
      </c>
      <c r="R29" s="11">
        <f>VLOOKUP(Q29,$A$29:$I$32,2,FALSE)</f>
        <v>7</v>
      </c>
      <c r="S29" s="11">
        <f>VLOOKUP(Q29,$A$29:$I$32,9,FALSE)</f>
        <v>4</v>
      </c>
      <c r="T29" s="11"/>
      <c r="U29" s="11" t="str">
        <f>IF(AND(R29=R30,S30&gt;S29),Q30,Q29)</f>
        <v>Dinamarca</v>
      </c>
      <c r="V29" s="11">
        <f>VLOOKUP(U29,$A$29:$I$32,2,FALSE)</f>
        <v>7</v>
      </c>
      <c r="W29" s="11">
        <f>VLOOKUP(U29,$A$29:$I$32,9,FALSE)</f>
        <v>6</v>
      </c>
      <c r="X29" s="11" t="str">
        <f>IF(AND(V29=V31,W31&gt;W29),U31,U29)</f>
        <v>Dinamarca</v>
      </c>
      <c r="Y29" s="11">
        <f>VLOOKUP(X29,$A$29:$I$32,2,FALSE)</f>
        <v>7</v>
      </c>
      <c r="Z29" s="11">
        <f>VLOOKUP(X29,$A$29:$I$32,9,FALSE)</f>
        <v>6</v>
      </c>
      <c r="AA29" s="11"/>
      <c r="AB29" s="11" t="str">
        <f>IF(AND(Y29=Y32,Z32&gt;Z29),X32,X29)</f>
        <v>Dinamarca</v>
      </c>
      <c r="AC29" s="11">
        <f>VLOOKUP(AB29,$A$29:$I$32,2,FALSE)</f>
        <v>7</v>
      </c>
      <c r="AD29" s="11">
        <f>VLOOKUP(AB29,$A$29:$I$32,9,FALSE)</f>
        <v>6</v>
      </c>
      <c r="AE29" s="11">
        <f>VLOOKUP(AB29,$A$29:$I$32,7,FALSE)</f>
        <v>8</v>
      </c>
      <c r="AF29" s="11" t="str">
        <f>IF(AND(AC29=AC30,AD29=AD30,AE30&gt;AE29),AB30,AB29)</f>
        <v>Dinamarca</v>
      </c>
      <c r="AG29" s="11">
        <f>VLOOKUP(AF29,$A$29:$I$32,2,FALSE)</f>
        <v>7</v>
      </c>
      <c r="AH29" s="11">
        <f>VLOOKUP(AF29,$A$29:$I$32,9,FALSE)</f>
        <v>6</v>
      </c>
      <c r="AI29" s="11">
        <f>VLOOKUP(AF29,$A$29:$I$32,7,FALSE)</f>
        <v>8</v>
      </c>
      <c r="AJ29" s="11" t="str">
        <f>IF(AND(AG29=AG31,AH29=AH31,AI31&gt;AI29),AF31,AF29)</f>
        <v>Dinamarca</v>
      </c>
      <c r="AK29" s="11">
        <f>VLOOKUP(AJ29,$A$29:$I$32,2,FALSE)</f>
        <v>7</v>
      </c>
      <c r="AL29" s="11">
        <f>VLOOKUP(AJ29,$A$29:$I$32,9,FALSE)</f>
        <v>6</v>
      </c>
      <c r="AM29" s="11">
        <f>VLOOKUP(AJ29,$A$29:$I$32,7,FALSE)</f>
        <v>8</v>
      </c>
      <c r="AN29" s="11" t="str">
        <f>IF(AND(AK29=AK32,AL29=AL32,AM32&gt;AM29),AJ32,AJ29)</f>
        <v>Dinamarca</v>
      </c>
      <c r="AO29" s="213">
        <f>VLOOKUP(AN29,$A$29:$I$32,2,FALSE)</f>
        <v>7</v>
      </c>
      <c r="AP29" s="213">
        <f>IF(Tabela!N2="www.guiadecompra.com",VLOOKUP(AN29,$A$29:$I$32,9,FALSE),0)</f>
        <v>6</v>
      </c>
      <c r="AQ29" s="213">
        <f>VLOOKUP(AN29,$A$29:$I$32,7,FALSE)</f>
        <v>8</v>
      </c>
      <c r="AR29" s="12"/>
      <c r="AS29" s="12"/>
      <c r="AT29" s="12"/>
      <c r="AU29" s="12"/>
    </row>
    <row r="30" spans="1:47">
      <c r="A30" s="40" t="str">
        <f>time!D2</f>
        <v>Austrália</v>
      </c>
      <c r="B30" s="41">
        <f>IF(Copa=FIFA,SUM(D30*3)+E30,0)</f>
        <v>0</v>
      </c>
      <c r="C30" s="42">
        <f>COUNT(Tabela!I31,Tabela!I32,Tabela!G35)</f>
        <v>3</v>
      </c>
      <c r="D30" s="42">
        <f>SUM(IF(Tabela!$I$31&gt;Tabela!$G$31,COUNT(Tabela!$I$31)),IF(Tabela!$I$32&gt;Tabela!$G$32,COUNT(Tabela!$I$32)),IF(Tabela!$G$35&gt;Tabela!$I$35,COUNT(Tabela!$G$35)))</f>
        <v>0</v>
      </c>
      <c r="E30" s="42">
        <f>SUM(IF(Tabela!$I$31=Tabela!$G$31,COUNT(Tabela!$I$31)),IF(Tabela!$I$32=Tabela!$G$32,COUNT(Tabela!$I$32)),IF(Tabela!$G$35=Tabela!$I$35,COUNT(Tabela!$G$35)))</f>
        <v>0</v>
      </c>
      <c r="F30" s="42">
        <f>SUM(IF(Tabela!$I$31&lt;Tabela!$G$31,COUNT(Tabela!$I$31)),IF(Tabela!$I$32&lt;Tabela!$G$32,COUNT(Tabela!$I$32)),IF(Tabela!$G$35&lt;Tabela!$I$35,COUNT(Tabela!$G$35)))</f>
        <v>3</v>
      </c>
      <c r="G30" s="42">
        <f>SUM(Tabela!I31+Tabela!I32+Tabela!G35)</f>
        <v>1</v>
      </c>
      <c r="H30" s="42">
        <f>SUM(Tabela!G31+Tabela!G32+Tabela!I35)</f>
        <v>9</v>
      </c>
      <c r="I30" s="42">
        <f>IF(BR20I4=Tabela!C2,SUM(G30-H30),"X")</f>
        <v>-8</v>
      </c>
      <c r="J30" s="13"/>
      <c r="K30" s="11" t="str">
        <f>IF(B30&lt;=B29,A30,A29)</f>
        <v>Austrália</v>
      </c>
      <c r="L30" s="11">
        <f>VLOOKUP(K30,$A$29:$I$32,2,FALSE)</f>
        <v>0</v>
      </c>
      <c r="M30" s="11"/>
      <c r="N30" s="11" t="str">
        <f>IF(L30&gt;=L32,K30,K32)</f>
        <v>Tunísia</v>
      </c>
      <c r="O30" s="11">
        <f>VLOOKUP(N30,$A$29:$I$32,2,FALSE)</f>
        <v>3</v>
      </c>
      <c r="P30" s="11"/>
      <c r="Q30" s="11" t="str">
        <f>IF(O30&gt;=O31,N30,N31)</f>
        <v>Dinamarca</v>
      </c>
      <c r="R30" s="11">
        <f>VLOOKUP(Q30,$A$29:$I$32,2,FALSE)</f>
        <v>7</v>
      </c>
      <c r="S30" s="11">
        <f>VLOOKUP(Q30,$A$29:$I$32,9,FALSE)</f>
        <v>6</v>
      </c>
      <c r="T30" s="11"/>
      <c r="U30" s="11" t="str">
        <f>IF(AND(R29=R30,S30&gt;S29),Q29,Q30)</f>
        <v>França</v>
      </c>
      <c r="V30" s="11">
        <f>VLOOKUP(U30,$A$29:$I$32,2,FALSE)</f>
        <v>7</v>
      </c>
      <c r="W30" s="11">
        <f>VLOOKUP(U30,$A$29:$I$32,9,FALSE)</f>
        <v>4</v>
      </c>
      <c r="X30" s="11" t="str">
        <f>IF(AND(V30=V32,W32&gt;W30),U32,U30)</f>
        <v>França</v>
      </c>
      <c r="Y30" s="11">
        <f>VLOOKUP(X30,$A$29:$I$32,2,FALSE)</f>
        <v>7</v>
      </c>
      <c r="Z30" s="11">
        <f>VLOOKUP(X30,$A$29:$I$32,9,FALSE)</f>
        <v>4</v>
      </c>
      <c r="AA30" s="11"/>
      <c r="AB30" s="11" t="str">
        <f>IF(AND(Y30=Y31,Z31&gt;Z30),X31,X30)</f>
        <v>França</v>
      </c>
      <c r="AC30" s="11">
        <f>VLOOKUP(AB30,$A$29:$I$32,2,FALSE)</f>
        <v>7</v>
      </c>
      <c r="AD30" s="11">
        <f>VLOOKUP(AB30,$A$29:$I$32,9,FALSE)</f>
        <v>4</v>
      </c>
      <c r="AE30" s="11">
        <f>VLOOKUP(AB30,$A$29:$I$32,7,FALSE)</f>
        <v>7</v>
      </c>
      <c r="AF30" s="11" t="str">
        <f>IF(AND(AC30=AC29,AD30=AD29,AE30&gt;AE29),AB29,AB30)</f>
        <v>França</v>
      </c>
      <c r="AG30" s="11">
        <f>VLOOKUP(AF30,$A$29:$I$32,2,FALSE)</f>
        <v>7</v>
      </c>
      <c r="AH30" s="11">
        <f>VLOOKUP(AF30,$A$29:$I$32,9,FALSE)</f>
        <v>4</v>
      </c>
      <c r="AI30" s="11">
        <f>VLOOKUP(AF30,$A$29:$I$32,7,FALSE)</f>
        <v>7</v>
      </c>
      <c r="AJ30" s="11" t="str">
        <f>IF(AND(AG30=AG32,AH30=AH32,AI32&gt;AI30),AF32,AF30)</f>
        <v>França</v>
      </c>
      <c r="AK30" s="11">
        <f>VLOOKUP(AJ30,$A$29:$I$32,2,FALSE)</f>
        <v>7</v>
      </c>
      <c r="AL30" s="11">
        <f>VLOOKUP(AJ30,$A$29:$I$32,9,FALSE)</f>
        <v>4</v>
      </c>
      <c r="AM30" s="11">
        <f>VLOOKUP(AJ30,$A$29:$I$32,7,FALSE)</f>
        <v>7</v>
      </c>
      <c r="AN30" s="11" t="str">
        <f>IF(AND(AK30=AK31,AL30=AL31,AM31&gt;AM30),AJ31,AJ30)</f>
        <v>França</v>
      </c>
      <c r="AO30" s="213">
        <f>VLOOKUP(AN30,$A$29:$I$32,2,FALSE)</f>
        <v>7</v>
      </c>
      <c r="AP30" s="213">
        <f>IF(Tabela!N2="www.guiadecompra.com",VLOOKUP(AN30,$A$29:$I$32,9,FALSE),0)</f>
        <v>4</v>
      </c>
      <c r="AQ30" s="213">
        <f>VLOOKUP(AN30,$A$29:$I$32,7,FALSE)</f>
        <v>7</v>
      </c>
      <c r="AR30" s="12"/>
      <c r="AS30" s="12"/>
      <c r="AT30" s="12"/>
      <c r="AU30" s="12"/>
    </row>
    <row r="31" spans="1:47">
      <c r="A31" s="40" t="str">
        <f>time!D3</f>
        <v>Dinamarca</v>
      </c>
      <c r="B31" s="41">
        <f>IF(Copa=FIFA,SUM(D31*3)+E31,0)</f>
        <v>7</v>
      </c>
      <c r="C31" s="42">
        <f>COUNT(Tabela!G30,Tabela!I33,Tabela!I35)</f>
        <v>3</v>
      </c>
      <c r="D31" s="42">
        <f>SUM(IF(Tabela!$G$30&gt;Tabela!$I$30,COUNT(Tabela!$G$30)),IF(Tabela!$I$33&gt;Tabela!$G$33,COUNT(Tabela!$I$33)),IF(Tabela!$I$35&gt;Tabela!$G$35,COUNT(Tabela!$I$35)))</f>
        <v>2</v>
      </c>
      <c r="E31" s="42">
        <f>SUM(IF(Tabela!$G$30=Tabela!$I$30,COUNT(Tabela!$G$30)),IF(Tabela!$I$33=Tabela!$G$33,COUNT(Tabela!$I$33)),IF(Tabela!$I$35=Tabela!$G$35,COUNT(Tabela!$I$35)))</f>
        <v>1</v>
      </c>
      <c r="F31" s="42">
        <f>SUM(IF(Tabela!$G$30&lt;Tabela!$I$30,COUNT(Tabela!$G$30)),IF(Tabela!$I$33&lt;Tabela!$G$33,COUNT(Tabela!$I$33)),IF(Tabela!$I$35&lt;Tabela!$G$35,COUNT(Tabela!$I$35)))</f>
        <v>0</v>
      </c>
      <c r="G31" s="42">
        <f>SUM(Tabela!G30+Tabela!I33+Tabela!I35)</f>
        <v>8</v>
      </c>
      <c r="H31" s="42">
        <f>SUM(Tabela!I30+Tabela!G33+Tabela!G35)</f>
        <v>2</v>
      </c>
      <c r="I31" s="42">
        <f>IF(BR20I4=Tabela!C2,SUM(G31-H31),"X")</f>
        <v>6</v>
      </c>
      <c r="J31" s="13"/>
      <c r="K31" s="11" t="str">
        <f>IF(B31&gt;=B32,A31,A32)</f>
        <v>Dinamarca</v>
      </c>
      <c r="L31" s="11">
        <f>VLOOKUP(K31,$A$29:$I$32,2,FALSE)</f>
        <v>7</v>
      </c>
      <c r="M31" s="11"/>
      <c r="N31" s="11" t="str">
        <f>IF(L31&lt;=L29,K31,K29)</f>
        <v>Dinamarca</v>
      </c>
      <c r="O31" s="11">
        <f>VLOOKUP(N31,$A$29:$I$32,2,FALSE)</f>
        <v>7</v>
      </c>
      <c r="P31" s="11"/>
      <c r="Q31" s="11" t="str">
        <f>IF(O31&lt;=O30,N31,N30)</f>
        <v>Tunísia</v>
      </c>
      <c r="R31" s="11">
        <f>VLOOKUP(Q31,$A$29:$I$32,2,FALSE)</f>
        <v>3</v>
      </c>
      <c r="S31" s="11">
        <f>VLOOKUP(Q31,$A$29:$I$32,9,FALSE)</f>
        <v>-2</v>
      </c>
      <c r="T31" s="11"/>
      <c r="U31" s="11" t="str">
        <f>IF(AND(R31=R32,S32&gt;S31),Q32,Q31)</f>
        <v>Tunísia</v>
      </c>
      <c r="V31" s="11">
        <f>VLOOKUP(U31,$A$29:$I$32,2,FALSE)</f>
        <v>3</v>
      </c>
      <c r="W31" s="11">
        <f>VLOOKUP(U31,$A$29:$I$32,9,FALSE)</f>
        <v>-2</v>
      </c>
      <c r="X31" s="11" t="str">
        <f>IF(AND(V29=V31,W31&gt;W29),U29,U31)</f>
        <v>Tunísia</v>
      </c>
      <c r="Y31" s="11">
        <f>VLOOKUP(X31,$A$29:$I$32,2,FALSE)</f>
        <v>3</v>
      </c>
      <c r="Z31" s="11">
        <f>VLOOKUP(X31,$A$29:$I$32,9,FALSE)</f>
        <v>-2</v>
      </c>
      <c r="AA31" s="11"/>
      <c r="AB31" s="11" t="str">
        <f>IF(AND(Y31=Y30,Z31&gt;Z30),X30,X31)</f>
        <v>Tunísia</v>
      </c>
      <c r="AC31" s="11">
        <f>VLOOKUP(AB31,$A$29:$I$32,2,FALSE)</f>
        <v>3</v>
      </c>
      <c r="AD31" s="11">
        <f>VLOOKUP(AB31,$A$29:$I$32,9,FALSE)</f>
        <v>-2</v>
      </c>
      <c r="AE31" s="11">
        <f>VLOOKUP(AB31,$A$29:$I$32,7,FALSE)</f>
        <v>3</v>
      </c>
      <c r="AF31" s="11" t="str">
        <f>IF(AND(AC31=AC32,AD31=AD32,AE32&gt;AE31),AB32,AB31)</f>
        <v>Tunísia</v>
      </c>
      <c r="AG31" s="11">
        <f>VLOOKUP(AF31,$A$29:$I$32,2,FALSE)</f>
        <v>3</v>
      </c>
      <c r="AH31" s="11">
        <f>VLOOKUP(AF31,$A$29:$I$32,9,FALSE)</f>
        <v>-2</v>
      </c>
      <c r="AI31" s="11">
        <f>VLOOKUP(AF31,$A$29:$I$32,7,FALSE)</f>
        <v>3</v>
      </c>
      <c r="AJ31" s="11" t="str">
        <f>IF(AND(AG31=AG29,AH31=AH29,AI31&gt;AI29),AF29,AF31)</f>
        <v>Tunísia</v>
      </c>
      <c r="AK31" s="11">
        <f>VLOOKUP(AJ31,$A$29:$I$32,2,FALSE)</f>
        <v>3</v>
      </c>
      <c r="AL31" s="11">
        <f>VLOOKUP(AJ31,$A$29:$I$32,9,FALSE)</f>
        <v>-2</v>
      </c>
      <c r="AM31" s="11">
        <f>VLOOKUP(AJ31,$A$29:$I$32,7,FALSE)</f>
        <v>3</v>
      </c>
      <c r="AN31" s="11" t="str">
        <f>IF(AND(AK31=AK30,AL31=AL30,AM31&gt;AM30),AJ30,AJ31)</f>
        <v>Tunísia</v>
      </c>
      <c r="AO31" s="213">
        <f>VLOOKUP(AN31,$A$29:$I$32,2,FALSE)</f>
        <v>3</v>
      </c>
      <c r="AP31" s="213">
        <f>IF(Tabela!N2="www.guiadecompra.com",VLOOKUP(AN31,$A$29:$I$32,9,FALSE),0)</f>
        <v>-2</v>
      </c>
      <c r="AQ31" s="213">
        <f>VLOOKUP(AN31,$A$29:$I$32,7,FALSE)</f>
        <v>3</v>
      </c>
      <c r="AR31" s="12"/>
      <c r="AS31" s="12"/>
      <c r="AT31" s="12"/>
      <c r="AU31" s="12"/>
    </row>
    <row r="32" spans="1:47">
      <c r="A32" s="40" t="str">
        <f>time!D4</f>
        <v>Tunísia</v>
      </c>
      <c r="B32" s="41">
        <f>IF(Copa=FIFA,SUM(D32*3)+E32,0)</f>
        <v>3</v>
      </c>
      <c r="C32" s="42">
        <f>COUNT(Tabela!I30,Tabela!G32,Tabela!G34)</f>
        <v>3</v>
      </c>
      <c r="D32" s="42">
        <f>SUM(IF(Tabela!$I$30&gt;Tabela!$G$30,COUNT(Tabela!$I$30)),IF(Tabela!$G$32&gt;Tabela!$I$32,COUNT(Tabela!$G$32)),IF(Tabela!$G$34&gt;Tabela!$I$34,COUNT(Tabela!$G$34)))</f>
        <v>1</v>
      </c>
      <c r="E32" s="42">
        <f>SUM(IF(Tabela!$I$30=Tabela!$G$30,COUNT(Tabela!$I$30)),IF(Tabela!$G$32=Tabela!$I$32,COUNT(Tabela!$G$32)),IF(Tabela!$G$34=Tabela!$I$34,COUNT(Tabela!$G$34)))</f>
        <v>0</v>
      </c>
      <c r="F32" s="42">
        <f>SUM(IF(Tabela!$I$30&lt;Tabela!$G$30,COUNT(Tabela!$I$30)),IF(Tabela!$G$32&lt;Tabela!$I$32,COUNT(Tabela!$G$32)),IF(Tabela!$G$34&lt;Tabela!$I$34,COUNT(Tabela!$G$34)))</f>
        <v>2</v>
      </c>
      <c r="G32" s="42">
        <f>SUM(Tabela!I30+Tabela!G32+Tabela!G34)</f>
        <v>3</v>
      </c>
      <c r="H32" s="42">
        <f>SUM(Tabela!G30+Tabela!I32+Tabela!I34)</f>
        <v>5</v>
      </c>
      <c r="I32" s="42">
        <f>IF(BR20I4=Tabela!C2,SUM(G32-H32),"X")</f>
        <v>-2</v>
      </c>
      <c r="J32" s="13"/>
      <c r="K32" s="11" t="str">
        <f>IF(B32&lt;=B31,A32,A31)</f>
        <v>Tunísia</v>
      </c>
      <c r="L32" s="11">
        <f>VLOOKUP(K32,$A$29:$I$32,2,FALSE)</f>
        <v>3</v>
      </c>
      <c r="M32" s="11"/>
      <c r="N32" s="11" t="str">
        <f>IF(L32&lt;=L30,K32,K30)</f>
        <v>Austrália</v>
      </c>
      <c r="O32" s="11">
        <f>VLOOKUP(N32,$A$29:$I$32,2,FALSE)</f>
        <v>0</v>
      </c>
      <c r="P32" s="11"/>
      <c r="Q32" s="11" t="str">
        <f>IF(O32&lt;=O29,N32,N29)</f>
        <v>Austrália</v>
      </c>
      <c r="R32" s="11">
        <f>VLOOKUP(Q32,$A$29:$I$32,2,FALSE)</f>
        <v>0</v>
      </c>
      <c r="S32" s="11">
        <f>VLOOKUP(Q32,$A$29:$I$32,9,FALSE)</f>
        <v>-8</v>
      </c>
      <c r="T32" s="11"/>
      <c r="U32" s="11" t="str">
        <f>IF(AND(R31=R32,S32&gt;S31),Q31,Q32)</f>
        <v>Austrália</v>
      </c>
      <c r="V32" s="11">
        <f>VLOOKUP(U32,$A$29:$I$32,2,FALSE)</f>
        <v>0</v>
      </c>
      <c r="W32" s="11">
        <f>VLOOKUP(U32,$A$29:$I$32,9,FALSE)</f>
        <v>-8</v>
      </c>
      <c r="X32" s="11" t="str">
        <f>IF(AND(V30=V32,W32&gt;W30),U30,U32)</f>
        <v>Austrália</v>
      </c>
      <c r="Y32" s="11">
        <f>VLOOKUP(X32,$A$29:$I$32,2,FALSE)</f>
        <v>0</v>
      </c>
      <c r="Z32" s="11">
        <f>VLOOKUP(X32,$A$29:$I$32,9,FALSE)</f>
        <v>-8</v>
      </c>
      <c r="AA32" s="11"/>
      <c r="AB32" s="11" t="str">
        <f>IF(AND(Y32=Y29,Z32&gt;Z29),X29,X32)</f>
        <v>Austrália</v>
      </c>
      <c r="AC32" s="11">
        <f>VLOOKUP(AB32,$A$29:$I$32,2,FALSE)</f>
        <v>0</v>
      </c>
      <c r="AD32" s="11">
        <f>VLOOKUP(AB32,$A$29:$I$32,9,FALSE)</f>
        <v>-8</v>
      </c>
      <c r="AE32" s="11">
        <f>VLOOKUP(AB32,$A$29:$I$32,7,FALSE)</f>
        <v>1</v>
      </c>
      <c r="AF32" s="11" t="str">
        <f>IF(AND(AC32=AC31,AD32=AD31,AE32&gt;AE31),X31,X32)</f>
        <v>Austrália</v>
      </c>
      <c r="AG32" s="11">
        <f>VLOOKUP(AF32,$A$29:$I$32,2,FALSE)</f>
        <v>0</v>
      </c>
      <c r="AH32" s="11">
        <f>VLOOKUP(AF32,$A$29:$I$32,9,FALSE)</f>
        <v>-8</v>
      </c>
      <c r="AI32" s="11">
        <f>VLOOKUP(AF32,$A$29:$I$32,7,FALSE)</f>
        <v>1</v>
      </c>
      <c r="AJ32" s="11" t="str">
        <f>IF(AND(AG30=AG32,AH30=AH32,AI32&gt;AI30),AF30,AF32)</f>
        <v>Austrália</v>
      </c>
      <c r="AK32" s="11">
        <f>VLOOKUP(AJ32,$A$29:$I$32,2,FALSE)</f>
        <v>0</v>
      </c>
      <c r="AL32" s="11">
        <f>VLOOKUP(AJ32,$A$29:$I$32,9,FALSE)</f>
        <v>-8</v>
      </c>
      <c r="AM32" s="11">
        <f>VLOOKUP(AJ32,$A$29:$I$32,7,FALSE)</f>
        <v>1</v>
      </c>
      <c r="AN32" s="11" t="str">
        <f>IF(AND(AK32=AK29,AL32=AL29,AM32&gt;AM29),AJ29,AJ32)</f>
        <v>Austrália</v>
      </c>
      <c r="AO32" s="213">
        <f>VLOOKUP(AN32,$A$29:$I$32,2,FALSE)</f>
        <v>0</v>
      </c>
      <c r="AP32" s="213">
        <f>IF(Tabela!N2="www.guiadecompra.com",VLOOKUP(AN32,$A$29:$I$32,9,FALSE),0)</f>
        <v>-8</v>
      </c>
      <c r="AQ32" s="213">
        <f>VLOOKUP(AN32,$A$29:$I$32,7,FALSE)</f>
        <v>1</v>
      </c>
      <c r="AR32" s="12"/>
      <c r="AS32" s="12"/>
      <c r="AT32" s="12"/>
      <c r="AU32" s="12"/>
    </row>
    <row r="33" spans="1:47">
      <c r="A33" s="5"/>
      <c r="B33" s="7"/>
      <c r="C33" s="7"/>
      <c r="D33" s="7"/>
      <c r="E33" s="7"/>
      <c r="F33" s="7"/>
      <c r="G33" s="7"/>
      <c r="H33" s="7"/>
      <c r="I33" s="7"/>
      <c r="J33" s="7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213"/>
      <c r="AP33" s="213"/>
      <c r="AQ33" s="213"/>
      <c r="AR33" s="12"/>
      <c r="AS33" s="12"/>
      <c r="AT33" s="12"/>
      <c r="AU33" s="12"/>
    </row>
    <row r="34" spans="1:47">
      <c r="A34" s="5"/>
      <c r="B34" s="7"/>
      <c r="C34" s="7"/>
      <c r="D34" s="7"/>
      <c r="E34" s="7"/>
      <c r="F34" s="7"/>
      <c r="G34" s="7"/>
      <c r="H34" s="7"/>
      <c r="I34" s="7"/>
      <c r="J34" s="7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213"/>
      <c r="AP34" s="213"/>
      <c r="AQ34" s="213"/>
      <c r="AR34" s="12"/>
      <c r="AS34" s="12"/>
      <c r="AT34" s="12"/>
      <c r="AU34" s="12"/>
    </row>
    <row r="35" spans="1:47">
      <c r="A35" s="5"/>
      <c r="B35" s="417" t="s">
        <v>39</v>
      </c>
      <c r="C35" s="417"/>
      <c r="D35" s="417"/>
      <c r="E35" s="417"/>
      <c r="F35" s="417"/>
      <c r="G35" s="417"/>
      <c r="H35" s="417"/>
      <c r="I35" s="417"/>
      <c r="J35" s="7"/>
      <c r="K35" s="11" t="s">
        <v>31</v>
      </c>
      <c r="L35" s="11"/>
      <c r="M35" s="11"/>
      <c r="N35" s="11" t="s">
        <v>32</v>
      </c>
      <c r="O35" s="11"/>
      <c r="P35" s="11"/>
      <c r="Q35" s="11" t="s">
        <v>33</v>
      </c>
      <c r="R35" s="11"/>
      <c r="S35" s="11"/>
      <c r="T35" s="11"/>
      <c r="U35" s="11" t="s">
        <v>33</v>
      </c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213"/>
      <c r="AP35" s="213"/>
      <c r="AQ35" s="213"/>
      <c r="AR35" s="12"/>
      <c r="AS35" s="12"/>
      <c r="AT35" s="12"/>
      <c r="AU35" s="12"/>
    </row>
    <row r="36" spans="1:47">
      <c r="A36" s="37" t="s">
        <v>34</v>
      </c>
      <c r="B36" s="38" t="s">
        <v>4</v>
      </c>
      <c r="C36" s="39" t="s">
        <v>5</v>
      </c>
      <c r="D36" s="39" t="s">
        <v>6</v>
      </c>
      <c r="E36" s="39" t="s">
        <v>7</v>
      </c>
      <c r="F36" s="39" t="s">
        <v>8</v>
      </c>
      <c r="G36" s="39" t="s">
        <v>9</v>
      </c>
      <c r="H36" s="39" t="s">
        <v>10</v>
      </c>
      <c r="I36" s="39" t="s">
        <v>11</v>
      </c>
      <c r="J36" s="14"/>
      <c r="K36" s="11"/>
      <c r="L36" s="11" t="s">
        <v>4</v>
      </c>
      <c r="M36" s="11"/>
      <c r="N36" s="11"/>
      <c r="O36" s="11" t="s">
        <v>35</v>
      </c>
      <c r="P36" s="11"/>
      <c r="Q36" s="11"/>
      <c r="R36" s="11" t="s">
        <v>4</v>
      </c>
      <c r="S36" s="11" t="s">
        <v>11</v>
      </c>
      <c r="T36" s="11"/>
      <c r="U36" s="11"/>
      <c r="V36" s="11" t="s">
        <v>4</v>
      </c>
      <c r="W36" s="11" t="s">
        <v>11</v>
      </c>
      <c r="X36" s="11"/>
      <c r="Y36" s="11" t="s">
        <v>4</v>
      </c>
      <c r="Z36" s="11" t="s">
        <v>11</v>
      </c>
      <c r="AA36" s="11"/>
      <c r="AB36" s="11"/>
      <c r="AC36" s="11" t="s">
        <v>4</v>
      </c>
      <c r="AD36" s="11" t="s">
        <v>11</v>
      </c>
      <c r="AE36" s="11" t="s">
        <v>9</v>
      </c>
      <c r="AF36" s="11"/>
      <c r="AG36" s="11" t="s">
        <v>4</v>
      </c>
      <c r="AH36" s="11" t="s">
        <v>11</v>
      </c>
      <c r="AI36" s="11" t="s">
        <v>9</v>
      </c>
      <c r="AJ36" s="11"/>
      <c r="AK36" s="11" t="s">
        <v>4</v>
      </c>
      <c r="AL36" s="11" t="s">
        <v>11</v>
      </c>
      <c r="AM36" s="11" t="s">
        <v>9</v>
      </c>
      <c r="AN36" s="11"/>
      <c r="AO36" s="213" t="s">
        <v>4</v>
      </c>
      <c r="AP36" s="213" t="s">
        <v>11</v>
      </c>
      <c r="AQ36" s="213" t="s">
        <v>9</v>
      </c>
      <c r="AR36" s="12"/>
      <c r="AS36" s="12"/>
      <c r="AT36" s="12"/>
      <c r="AU36" s="12"/>
    </row>
    <row r="37" spans="1:47">
      <c r="A37" s="40" t="str">
        <f>time!E1</f>
        <v>Espanha</v>
      </c>
      <c r="B37" s="41">
        <f>IF(Copa=FIFA,SUM(D37*3)+E37,0)</f>
        <v>5</v>
      </c>
      <c r="C37" s="42">
        <f>COUNT(Tabela!G39,Tabela!G41,Tabela!I42)</f>
        <v>3</v>
      </c>
      <c r="D37" s="42">
        <f>SUM(IF(Tabela!$G$39&gt;Tabela!$I$39,COUNT(Tabela!$G$39)),IF(Tabela!$G$41&gt;Tabela!$I$41,COUNT(Tabela!$G$41)),IF(Tabela!$I$42&gt;Tabela!$G$42,COUNT(Tabela!$I$42)))</f>
        <v>1</v>
      </c>
      <c r="E37" s="42">
        <f>SUM(IF(Tabela!$G$39=Tabela!$I$39,COUNT(Tabela!$G$39)),IF(Tabela!$G$41=Tabela!$I$41,COUNT(Tabela!$G$41)),IF(Tabela!$I$42=Tabela!$G$42,COUNT(Tabela!$I$42)))</f>
        <v>2</v>
      </c>
      <c r="F37" s="42">
        <f>SUM(IF(Tabela!$G$39&lt;Tabela!$I$39,COUNT(Tabela!$G$39)),IF(Tabela!$G$41&lt;Tabela!$I$41,COUNT(Tabela!$G$41)),IF(Tabela!$I$42&lt;Tabela!$G$42,COUNT(Tabela!$I$42)))</f>
        <v>0</v>
      </c>
      <c r="G37" s="42">
        <f>SUM(Tabela!G39+Tabela!G41+Tabela!I42)</f>
        <v>7</v>
      </c>
      <c r="H37" s="42">
        <f>SUM(Tabela!I39+Tabela!I41+Tabela!G42)</f>
        <v>5</v>
      </c>
      <c r="I37" s="42">
        <f>IF(BR20I4=Tabela!C2,SUM(G37-H37),"X")</f>
        <v>2</v>
      </c>
      <c r="J37" s="13"/>
      <c r="K37" s="11" t="str">
        <f>IF(B37&gt;=B38,A37,A38)</f>
        <v>Espanha</v>
      </c>
      <c r="L37" s="11">
        <f>VLOOKUP(K37,$A$37:$I$40,2,FALSE)</f>
        <v>5</v>
      </c>
      <c r="M37" s="11"/>
      <c r="N37" s="11" t="str">
        <f>IF(L37&gt;=L39,K37,K39)</f>
        <v>Alemanha</v>
      </c>
      <c r="O37" s="11">
        <f>VLOOKUP(N37,$A$37:$I$40,2,FALSE)</f>
        <v>7</v>
      </c>
      <c r="P37" s="11"/>
      <c r="Q37" s="11" t="str">
        <f>IF(O37&gt;=O40,N37,N40)</f>
        <v>Alemanha</v>
      </c>
      <c r="R37" s="11">
        <f>VLOOKUP(Q37,$A$37:$I$40,2,FALSE)</f>
        <v>7</v>
      </c>
      <c r="S37" s="11">
        <f>VLOOKUP(Q37,$A$37:$I$40,9,FALSE)</f>
        <v>8</v>
      </c>
      <c r="T37" s="11"/>
      <c r="U37" s="11" t="str">
        <f>IF(AND(R37=R38,S38&gt;S37),Q38,Q37)</f>
        <v>Alemanha</v>
      </c>
      <c r="V37" s="11">
        <f>VLOOKUP(U37,$A$37:$I$40,2,FALSE)</f>
        <v>7</v>
      </c>
      <c r="W37" s="11">
        <f>VLOOKUP(U37,$A$37:$I$40,9,FALSE)</f>
        <v>8</v>
      </c>
      <c r="X37" s="11" t="str">
        <f>IF(AND(V37=V39,W39&gt;W37),U39,U37)</f>
        <v>Alemanha</v>
      </c>
      <c r="Y37" s="11">
        <f>VLOOKUP(X37,$A$37:$I$40,2,FALSE)</f>
        <v>7</v>
      </c>
      <c r="Z37" s="11">
        <f>VLOOKUP(X37,$A$37:$I$40,9,FALSE)</f>
        <v>8</v>
      </c>
      <c r="AA37" s="11"/>
      <c r="AB37" s="11" t="str">
        <f>IF(AND(Y37=Y40,Z40&gt;Z37),X40,X37)</f>
        <v>Alemanha</v>
      </c>
      <c r="AC37" s="11">
        <f>VLOOKUP(AB37,$A$37:$I$40,2,FALSE)</f>
        <v>7</v>
      </c>
      <c r="AD37" s="11">
        <f>VLOOKUP(AB37,$A$37:$I$40,9,FALSE)</f>
        <v>8</v>
      </c>
      <c r="AE37" s="11">
        <f>VLOOKUP(AB37,$A$37:$I$40,7,FALSE)</f>
        <v>11</v>
      </c>
      <c r="AF37" s="11" t="str">
        <f>IF(AND(AC37=AC38,AD37=AD38,AE38&gt;AE37),AB38,AB37)</f>
        <v>Alemanha</v>
      </c>
      <c r="AG37" s="11">
        <f>VLOOKUP(AF37,$A$37:$I$40,2,FALSE)</f>
        <v>7</v>
      </c>
      <c r="AH37" s="11">
        <f>VLOOKUP(AF37,$A$37:$I$40,9,FALSE)</f>
        <v>8</v>
      </c>
      <c r="AI37" s="11">
        <f>VLOOKUP(AF37,$A$37:$I$40,7,FALSE)</f>
        <v>11</v>
      </c>
      <c r="AJ37" s="11" t="str">
        <f>IF(AND(AG37=AG39,AH37=AH39,AI39&gt;AI37),AF39,AF37)</f>
        <v>Alemanha</v>
      </c>
      <c r="AK37" s="11">
        <f>VLOOKUP(AJ37,$A$37:$I$40,2,FALSE)</f>
        <v>7</v>
      </c>
      <c r="AL37" s="11">
        <f>VLOOKUP(AJ37,$A$37:$I$40,9,FALSE)</f>
        <v>8</v>
      </c>
      <c r="AM37" s="11">
        <f>VLOOKUP(AJ37,$A$37:$I$40,7,FALSE)</f>
        <v>11</v>
      </c>
      <c r="AN37" s="11" t="str">
        <f>IF(AND(AK37=AK40,AL37=AL40,AM40&gt;AM37),AJ40,AJ37)</f>
        <v>Alemanha</v>
      </c>
      <c r="AO37" s="213">
        <f>VLOOKUP(AN37,$A$37:$I$40,2,FALSE)</f>
        <v>7</v>
      </c>
      <c r="AP37" s="213">
        <f>IF(Tabela!N2="www.guiadecompra.com",VLOOKUP(AN37,$A$37:$I$40,9,FALSE),0)</f>
        <v>8</v>
      </c>
      <c r="AQ37" s="213">
        <f>VLOOKUP(AN37,$A$37:$I$40,7,FALSE)</f>
        <v>11</v>
      </c>
      <c r="AR37" s="12"/>
      <c r="AS37" s="12"/>
      <c r="AT37" s="12"/>
      <c r="AU37" s="12"/>
    </row>
    <row r="38" spans="1:47">
      <c r="A38" s="40" t="str">
        <f>time!E2</f>
        <v>Costa Rica</v>
      </c>
      <c r="B38" s="41">
        <f>IF(Copa=FIFA,SUM(D38*3)+E38,0)</f>
        <v>3</v>
      </c>
      <c r="C38" s="42">
        <f>COUNT(Tabela!I39,Tabela!I40,Tabela!G43)</f>
        <v>3</v>
      </c>
      <c r="D38" s="42">
        <f>SUM(IF(Tabela!$I$39&gt;Tabela!$G$39,COUNT(Tabela!$I$39)),IF(Tabela!$I$40&gt;Tabela!$G$40,COUNT(Tabela!$I$40)),IF(Tabela!$G$43&gt;Tabela!$I$43,COUNT(Tabela!$G$43)))</f>
        <v>1</v>
      </c>
      <c r="E38" s="42">
        <f>SUM(IF(Tabela!$I$39=Tabela!$G$39,COUNT(Tabela!$I$39)),IF(Tabela!$I$40=Tabela!$G$40,COUNT(Tabela!$I$40)),IF(Tabela!$G$43=Tabela!$I$43,COUNT(Tabela!$G$43)))</f>
        <v>0</v>
      </c>
      <c r="F38" s="42">
        <f>SUM(IF(Tabela!$I$39&lt;Tabela!$G$39,COUNT(Tabela!$I$39)),IF(Tabela!$I$40&lt;Tabela!$G$40,COUNT(Tabela!$I$40)),IF(Tabela!$G$43&lt;Tabela!$I$43,COUNT(Tabela!$G$43)))</f>
        <v>2</v>
      </c>
      <c r="G38" s="42">
        <f>SUM(Tabela!I39+Tabela!I40+Tabela!G43)</f>
        <v>6</v>
      </c>
      <c r="H38" s="42">
        <f>SUM(Tabela!G39+Tabela!G40+Tabela!I43)</f>
        <v>8</v>
      </c>
      <c r="I38" s="42">
        <f>IF(BR20I4=Tabela!C2,SUM(G38-H38),"X")</f>
        <v>-2</v>
      </c>
      <c r="J38" s="13"/>
      <c r="K38" s="11" t="str">
        <f>IF(B38&lt;=B37,A38,A37)</f>
        <v>Costa Rica</v>
      </c>
      <c r="L38" s="11">
        <f>VLOOKUP(K38,$A$37:$I$40,2,FALSE)</f>
        <v>3</v>
      </c>
      <c r="M38" s="11"/>
      <c r="N38" s="11" t="str">
        <f>IF(L38&gt;=L40,K38,K40)</f>
        <v>Costa Rica</v>
      </c>
      <c r="O38" s="11">
        <f>VLOOKUP(N38,$A$37:$I$40,2,FALSE)</f>
        <v>3</v>
      </c>
      <c r="P38" s="11"/>
      <c r="Q38" s="11" t="str">
        <f>IF(O38&gt;=O39,N38,N39)</f>
        <v>Espanha</v>
      </c>
      <c r="R38" s="11">
        <f>VLOOKUP(Q38,$A$37:$I$40,2,FALSE)</f>
        <v>5</v>
      </c>
      <c r="S38" s="11">
        <f>VLOOKUP(Q38,$A$37:$I$40,9,FALSE)</f>
        <v>2</v>
      </c>
      <c r="T38" s="11"/>
      <c r="U38" s="11" t="str">
        <f>IF(AND(R37=R38,S38&gt;S37),Q37,Q38)</f>
        <v>Espanha</v>
      </c>
      <c r="V38" s="11">
        <f>VLOOKUP(U38,$A$37:$I$40,2,FALSE)</f>
        <v>5</v>
      </c>
      <c r="W38" s="11">
        <f>VLOOKUP(U38,$A$37:$I$40,9,FALSE)</f>
        <v>2</v>
      </c>
      <c r="X38" s="11" t="str">
        <f>IF(AND(V38=V40,W40&gt;W38),U40,U38)</f>
        <v>Espanha</v>
      </c>
      <c r="Y38" s="11">
        <f>VLOOKUP(X38,$A$37:$I$40,2,FALSE)</f>
        <v>5</v>
      </c>
      <c r="Z38" s="11">
        <f>VLOOKUP(X38,$A$37:$I$40,9,FALSE)</f>
        <v>2</v>
      </c>
      <c r="AA38" s="11"/>
      <c r="AB38" s="11" t="str">
        <f>IF(AND(Y38=Y39,Z39&gt;Z38),X39,X38)</f>
        <v>Espanha</v>
      </c>
      <c r="AC38" s="11">
        <f>VLOOKUP(AB38,$A$37:$I$40,2,FALSE)</f>
        <v>5</v>
      </c>
      <c r="AD38" s="11">
        <f>VLOOKUP(AB38,$A$37:$I$40,9,FALSE)</f>
        <v>2</v>
      </c>
      <c r="AE38" s="11">
        <f>VLOOKUP(AB38,$A$37:$I$40,7,FALSE)</f>
        <v>7</v>
      </c>
      <c r="AF38" s="11" t="str">
        <f>IF(AND(AC38=AC37,AD38=AD37,AE38&gt;AE37),AB37,AB38)</f>
        <v>Espanha</v>
      </c>
      <c r="AG38" s="11">
        <f>VLOOKUP(AF38,$A$37:$I$40,2,FALSE)</f>
        <v>5</v>
      </c>
      <c r="AH38" s="11">
        <f>VLOOKUP(AF38,$A$37:$I$40,9,FALSE)</f>
        <v>2</v>
      </c>
      <c r="AI38" s="11">
        <f>VLOOKUP(AF38,$A$37:$I$40,7,FALSE)</f>
        <v>7</v>
      </c>
      <c r="AJ38" s="11" t="str">
        <f>IF(AND(AG38=AG40,AH38=AH40,AI40&gt;AI38),AF40,AF38)</f>
        <v>Espanha</v>
      </c>
      <c r="AK38" s="11">
        <f>VLOOKUP(AJ38,$A$37:$I$40,2,FALSE)</f>
        <v>5</v>
      </c>
      <c r="AL38" s="11">
        <f>VLOOKUP(AJ38,$A$37:$I$40,9,FALSE)</f>
        <v>2</v>
      </c>
      <c r="AM38" s="11">
        <f>VLOOKUP(AJ38,$A$37:$I$40,7,FALSE)</f>
        <v>7</v>
      </c>
      <c r="AN38" s="11" t="str">
        <f>IF(AND(AK38=AK39,AL38=AL39,AM39&gt;AM38),AJ39,AJ38)</f>
        <v>Espanha</v>
      </c>
      <c r="AO38" s="213">
        <f>VLOOKUP(AN38,$A$37:$I$40,2,FALSE)</f>
        <v>5</v>
      </c>
      <c r="AP38" s="213">
        <f>IF(Tabela!N2="www.guiadecompra.com",VLOOKUP(AN38,$A$37:$I$40,9,FALSE),0)</f>
        <v>2</v>
      </c>
      <c r="AQ38" s="213">
        <f>VLOOKUP(AN38,$A$37:$I$40,7,FALSE)</f>
        <v>7</v>
      </c>
      <c r="AR38" s="12"/>
      <c r="AS38" s="12"/>
      <c r="AT38" s="12"/>
      <c r="AU38" s="12"/>
    </row>
    <row r="39" spans="1:47">
      <c r="A39" s="40" t="str">
        <f>time!E3</f>
        <v>Alemanha</v>
      </c>
      <c r="B39" s="41">
        <f>IF(Copa=FIFA,SUM(D39*3)+E39,0)</f>
        <v>7</v>
      </c>
      <c r="C39" s="42">
        <f>COUNT(Tabela!G38,Tabela!I41,Tabela!I43)</f>
        <v>3</v>
      </c>
      <c r="D39" s="42">
        <f>SUM(IF(Tabela!$G$38&gt;Tabela!$I$38,COUNT(Tabela!$G$38)),IF(Tabela!$I$41&gt;Tabela!$G$41,COUNT(Tabela!$I$41)),IF(Tabela!$I$43&gt;Tabela!$G$43,COUNT(Tabela!$I$43)))</f>
        <v>2</v>
      </c>
      <c r="E39" s="42">
        <f>SUM(IF(Tabela!$G$38=Tabela!$I$38,COUNT(Tabela!$G$38)),IF(Tabela!$I$41=Tabela!$G$41,COUNT(Tabela!$I$41)),IF(Tabela!$I$43=Tabela!$G$43,COUNT(Tabela!$I$43)))</f>
        <v>1</v>
      </c>
      <c r="F39" s="42">
        <f>SUM(IF(Tabela!$G$38&lt;Tabela!$I$38,COUNT(Tabela!$G$38)),IF(Tabela!$I$41&lt;Tabela!$G$41,COUNT(Tabela!$I$41)),IF(Tabela!$I$43&lt;Tabela!$G$43,COUNT(Tabela!$I$43)))</f>
        <v>0</v>
      </c>
      <c r="G39" s="42">
        <f>SUM(Tabela!G38+Tabela!I41+Tabela!I43)</f>
        <v>11</v>
      </c>
      <c r="H39" s="42">
        <f>SUM(Tabela!I38+Tabela!G41+Tabela!G43)</f>
        <v>3</v>
      </c>
      <c r="I39" s="42">
        <f>IF(BR20I4=Tabela!C2,SUM(G39-H39),"X")</f>
        <v>8</v>
      </c>
      <c r="J39" s="13"/>
      <c r="K39" s="11" t="str">
        <f>IF(B39&gt;=B40,A39,A40)</f>
        <v>Alemanha</v>
      </c>
      <c r="L39" s="11">
        <f>VLOOKUP(K39,$A$37:$I$40,2,FALSE)</f>
        <v>7</v>
      </c>
      <c r="M39" s="11"/>
      <c r="N39" s="11" t="str">
        <f>IF(L39&lt;=L37,K39,K37)</f>
        <v>Espanha</v>
      </c>
      <c r="O39" s="11">
        <f>VLOOKUP(N39,$A$37:$I$40,2,FALSE)</f>
        <v>5</v>
      </c>
      <c r="P39" s="11"/>
      <c r="Q39" s="11" t="str">
        <f>IF(O39&lt;=O38,N39,N38)</f>
        <v>Costa Rica</v>
      </c>
      <c r="R39" s="11">
        <f>VLOOKUP(Q39,$A$37:$I$40,2,FALSE)</f>
        <v>3</v>
      </c>
      <c r="S39" s="11">
        <f>VLOOKUP(Q39,$A$37:$I$40,9,FALSE)</f>
        <v>-2</v>
      </c>
      <c r="T39" s="11"/>
      <c r="U39" s="11" t="str">
        <f>IF(AND(R39=R40,S40&gt;S39),Q40,Q39)</f>
        <v>Costa Rica</v>
      </c>
      <c r="V39" s="11">
        <f>VLOOKUP(U39,$A$37:$I$40,2,FALSE)</f>
        <v>3</v>
      </c>
      <c r="W39" s="11">
        <f>VLOOKUP(U39,$A$37:$I$40,9,FALSE)</f>
        <v>-2</v>
      </c>
      <c r="X39" s="11" t="str">
        <f>IF(AND(V37=V39,W39&gt;W37),U37,U39)</f>
        <v>Costa Rica</v>
      </c>
      <c r="Y39" s="11">
        <f>VLOOKUP(X39,$A$37:$I$40,2,FALSE)</f>
        <v>3</v>
      </c>
      <c r="Z39" s="11">
        <f>VLOOKUP(X39,$A$37:$I$40,9,FALSE)</f>
        <v>-2</v>
      </c>
      <c r="AA39" s="11"/>
      <c r="AB39" s="11" t="str">
        <f>IF(AND(Y39=Y38,Z39&gt;Z38),X38,X39)</f>
        <v>Costa Rica</v>
      </c>
      <c r="AC39" s="11">
        <f>VLOOKUP(AB39,$A$37:$I$40,2,FALSE)</f>
        <v>3</v>
      </c>
      <c r="AD39" s="11">
        <f>VLOOKUP(AB39,$A$37:$I$40,9,FALSE)</f>
        <v>-2</v>
      </c>
      <c r="AE39" s="11">
        <f>VLOOKUP(AB39,$A$37:$I$40,7,FALSE)</f>
        <v>6</v>
      </c>
      <c r="AF39" s="11" t="str">
        <f>IF(AND(AC39=AC40,AD39=AD40,AE40&gt;AE39),AB40,AB39)</f>
        <v>Costa Rica</v>
      </c>
      <c r="AG39" s="11">
        <f>VLOOKUP(AF39,$A$37:$I$40,2,FALSE)</f>
        <v>3</v>
      </c>
      <c r="AH39" s="11">
        <f>VLOOKUP(AF39,$A$37:$I$40,9,FALSE)</f>
        <v>-2</v>
      </c>
      <c r="AI39" s="11">
        <f>VLOOKUP(AF39,$A$37:$I$40,7,FALSE)</f>
        <v>6</v>
      </c>
      <c r="AJ39" s="11" t="str">
        <f>IF(AND(AG39=AG37,AH39=AH37,AI39&gt;AI37),AF37,AF39)</f>
        <v>Costa Rica</v>
      </c>
      <c r="AK39" s="11">
        <f>VLOOKUP(AJ39,$A$37:$I$40,2,FALSE)</f>
        <v>3</v>
      </c>
      <c r="AL39" s="11">
        <f>VLOOKUP(AJ39,$A$37:$I$40,9,FALSE)</f>
        <v>-2</v>
      </c>
      <c r="AM39" s="11">
        <f>VLOOKUP(AJ39,$A$37:$I$40,7,FALSE)</f>
        <v>6</v>
      </c>
      <c r="AN39" s="11" t="str">
        <f>IF(AND(AK39=AK38,AL39=AL38,AM39&gt;AM38),AJ38,AJ39)</f>
        <v>Costa Rica</v>
      </c>
      <c r="AO39" s="213">
        <f>VLOOKUP(AN39,$A$37:$I$40,2,FALSE)</f>
        <v>3</v>
      </c>
      <c r="AP39" s="213">
        <f>IF(Tabela!N2="www.guiadecompra.com",VLOOKUP(AN39,$A$37:$I$40,9,FALSE),0)</f>
        <v>-2</v>
      </c>
      <c r="AQ39" s="213">
        <f>VLOOKUP(AN39,$A$37:$I$40,7,FALSE)</f>
        <v>6</v>
      </c>
      <c r="AR39" s="12"/>
      <c r="AS39" s="12"/>
      <c r="AT39" s="12"/>
      <c r="AU39" s="12"/>
    </row>
    <row r="40" spans="1:47">
      <c r="A40" s="40" t="str">
        <f>time!E4</f>
        <v>Japão</v>
      </c>
      <c r="B40" s="41">
        <f>IF(Copa=FIFA,SUM(D40*3)+E40,0)</f>
        <v>1</v>
      </c>
      <c r="C40" s="42">
        <f>COUNT(Tabela!I38,Tabela!G40,Tabela!G42)</f>
        <v>3</v>
      </c>
      <c r="D40" s="42">
        <f>SUM(IF(Tabela!$I$38&gt;Tabela!$G$38,COUNT(Tabela!$I$38)),IF(Tabela!$G$40&gt;Tabela!$I$40,COUNT(Tabela!$G$40)),IF(Tabela!$G$42&gt;Tabela!$I$42,COUNT(Tabela!$G$42)))</f>
        <v>0</v>
      </c>
      <c r="E40" s="42">
        <f>SUM(IF(Tabela!$I$38=Tabela!$G$38,COUNT(Tabela!$I$38)),IF(Tabela!$G$40=Tabela!$I$40,COUNT(Tabela!$G$40)),IF(Tabela!$G$42=Tabela!$I$42,COUNT(Tabela!$G$42)))</f>
        <v>1</v>
      </c>
      <c r="F40" s="42">
        <f>SUM(IF(Tabela!$I$38&lt;Tabela!$G$38,COUNT(Tabela!$I$38)),IF(Tabela!$G$40&lt;Tabela!$I$40,COUNT(Tabela!$G$40)),IF(Tabela!$G$42&lt;Tabela!$I$42,COUNT(Tabela!$G$42)))</f>
        <v>2</v>
      </c>
      <c r="G40" s="42">
        <f>SUM(Tabela!I38+Tabela!G40+Tabela!G42)</f>
        <v>2</v>
      </c>
      <c r="H40" s="42">
        <f>SUM(Tabela!G38+Tabela!I40+Tabela!I42)</f>
        <v>10</v>
      </c>
      <c r="I40" s="42">
        <f>IF(BR20I4=Tabela!C2,SUM(G40-H40),"X")</f>
        <v>-8</v>
      </c>
      <c r="J40" s="13"/>
      <c r="K40" s="11" t="str">
        <f>IF(B40&lt;=B39,A40,A39)</f>
        <v>Japão</v>
      </c>
      <c r="L40" s="11">
        <f>VLOOKUP(K40,$A$37:$I$40,2,FALSE)</f>
        <v>1</v>
      </c>
      <c r="M40" s="11"/>
      <c r="N40" s="11" t="str">
        <f>IF(L40&lt;=L38,K40,K38)</f>
        <v>Japão</v>
      </c>
      <c r="O40" s="11">
        <f>VLOOKUP(N40,$A$37:$I$40,2,FALSE)</f>
        <v>1</v>
      </c>
      <c r="P40" s="11"/>
      <c r="Q40" s="11" t="str">
        <f>IF(O40&lt;=O37,N40,N37)</f>
        <v>Japão</v>
      </c>
      <c r="R40" s="11">
        <f>VLOOKUP(Q40,$A$37:$I$40,2,FALSE)</f>
        <v>1</v>
      </c>
      <c r="S40" s="11">
        <f>VLOOKUP(Q40,$A$37:$I$40,9,FALSE)</f>
        <v>-8</v>
      </c>
      <c r="T40" s="11"/>
      <c r="U40" s="11" t="str">
        <f>IF(AND(R39=R40,S40&gt;S39),Q39,Q40)</f>
        <v>Japão</v>
      </c>
      <c r="V40" s="11">
        <f>VLOOKUP(U40,$A$37:$I$40,2,FALSE)</f>
        <v>1</v>
      </c>
      <c r="W40" s="11">
        <f>VLOOKUP(U40,$A$37:$I$40,9,FALSE)</f>
        <v>-8</v>
      </c>
      <c r="X40" s="11" t="str">
        <f>IF(AND(V38=V40,W40&gt;W38),U38,U40)</f>
        <v>Japão</v>
      </c>
      <c r="Y40" s="11">
        <f>VLOOKUP(X40,$A$37:$I$40,2,FALSE)</f>
        <v>1</v>
      </c>
      <c r="Z40" s="11">
        <f>VLOOKUP(X40,$A$37:$I$40,9,FALSE)</f>
        <v>-8</v>
      </c>
      <c r="AA40" s="11"/>
      <c r="AB40" s="11" t="str">
        <f>IF(AND(Y40=Y37,Z40&gt;Z37),X37,X40)</f>
        <v>Japão</v>
      </c>
      <c r="AC40" s="11">
        <f>VLOOKUP(AB40,$A$37:$I$40,2,FALSE)</f>
        <v>1</v>
      </c>
      <c r="AD40" s="11">
        <f>VLOOKUP(AB40,$A$37:$I$40,9,FALSE)</f>
        <v>-8</v>
      </c>
      <c r="AE40" s="11">
        <f>VLOOKUP(AB40,$A$37:$I$40,7,FALSE)</f>
        <v>2</v>
      </c>
      <c r="AF40" s="11" t="str">
        <f>IF(AND(AC40=AC39,AD40=AD39,AE40&gt;AE39),X39,X40)</f>
        <v>Japão</v>
      </c>
      <c r="AG40" s="11">
        <f>VLOOKUP(AF40,$A$37:$I$40,2,FALSE)</f>
        <v>1</v>
      </c>
      <c r="AH40" s="11">
        <f>VLOOKUP(AF40,$A$37:$I$40,9,FALSE)</f>
        <v>-8</v>
      </c>
      <c r="AI40" s="11">
        <f>VLOOKUP(AF40,$A$37:$I$40,7,FALSE)</f>
        <v>2</v>
      </c>
      <c r="AJ40" s="11" t="str">
        <f>IF(AND(AG38=AG40,AH38=AH40,AI40&gt;AI38),AF38,AF40)</f>
        <v>Japão</v>
      </c>
      <c r="AK40" s="11">
        <f>VLOOKUP(AJ40,$A$37:$I$40,2,FALSE)</f>
        <v>1</v>
      </c>
      <c r="AL40" s="11">
        <f>VLOOKUP(AJ40,$A$37:$I$40,9,FALSE)</f>
        <v>-8</v>
      </c>
      <c r="AM40" s="11">
        <f>VLOOKUP(AJ40,$A$37:$I$40,7,FALSE)</f>
        <v>2</v>
      </c>
      <c r="AN40" s="11" t="str">
        <f>IF(AND(AK40=AK37,AL40=AL37,AM40&gt;AM37),AJ37,AJ40)</f>
        <v>Japão</v>
      </c>
      <c r="AO40" s="213">
        <f>VLOOKUP(AN40,$A$37:$I$40,2,FALSE)</f>
        <v>1</v>
      </c>
      <c r="AP40" s="213">
        <f>IF(Tabela!N2="www.guiadecompra.com",VLOOKUP(AN40,$A$37:$I$40,9,FALSE),0)</f>
        <v>-8</v>
      </c>
      <c r="AQ40" s="213">
        <f>VLOOKUP(AN40,$A$37:$I$40,7,FALSE)</f>
        <v>2</v>
      </c>
      <c r="AR40" s="12"/>
      <c r="AS40" s="12"/>
      <c r="AT40" s="12"/>
      <c r="AU40" s="12"/>
    </row>
    <row r="41" spans="1:47">
      <c r="A41" s="5"/>
      <c r="B41" s="7"/>
      <c r="C41" s="7"/>
      <c r="D41" s="7"/>
      <c r="E41" s="7"/>
      <c r="F41" s="7"/>
      <c r="G41" s="7"/>
      <c r="H41" s="7"/>
      <c r="I41" s="7"/>
      <c r="J41" s="7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213"/>
      <c r="AP41" s="213"/>
      <c r="AQ41" s="213"/>
      <c r="AR41" s="12"/>
      <c r="AS41" s="12"/>
      <c r="AT41" s="12"/>
      <c r="AU41" s="12"/>
    </row>
    <row r="42" spans="1:47">
      <c r="A42" s="5"/>
      <c r="B42" s="7"/>
      <c r="C42" s="7"/>
      <c r="D42" s="7"/>
      <c r="E42" s="7"/>
      <c r="F42" s="7"/>
      <c r="G42" s="7"/>
      <c r="H42" s="7"/>
      <c r="I42" s="7"/>
      <c r="J42" s="7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213"/>
      <c r="AP42" s="213"/>
      <c r="AQ42" s="213"/>
      <c r="AR42" s="12"/>
      <c r="AS42" s="12"/>
      <c r="AT42" s="12"/>
      <c r="AU42" s="12"/>
    </row>
    <row r="43" spans="1:47">
      <c r="A43" s="5"/>
      <c r="B43" s="417" t="s">
        <v>40</v>
      </c>
      <c r="C43" s="417"/>
      <c r="D43" s="417"/>
      <c r="E43" s="417"/>
      <c r="F43" s="417"/>
      <c r="G43" s="417"/>
      <c r="H43" s="417"/>
      <c r="I43" s="417"/>
      <c r="J43" s="7"/>
      <c r="K43" s="11" t="s">
        <v>31</v>
      </c>
      <c r="L43" s="11"/>
      <c r="M43" s="11"/>
      <c r="N43" s="11" t="s">
        <v>32</v>
      </c>
      <c r="O43" s="11"/>
      <c r="P43" s="11"/>
      <c r="Q43" s="11" t="s">
        <v>33</v>
      </c>
      <c r="R43" s="11"/>
      <c r="S43" s="11"/>
      <c r="T43" s="11"/>
      <c r="U43" s="11" t="s">
        <v>33</v>
      </c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213"/>
      <c r="AP43" s="213"/>
      <c r="AQ43" s="213"/>
      <c r="AR43" s="12"/>
      <c r="AS43" s="12"/>
      <c r="AT43" s="12"/>
      <c r="AU43" s="12"/>
    </row>
    <row r="44" spans="1:47">
      <c r="A44" s="37" t="s">
        <v>34</v>
      </c>
      <c r="B44" s="38" t="s">
        <v>4</v>
      </c>
      <c r="C44" s="39" t="s">
        <v>5</v>
      </c>
      <c r="D44" s="39" t="s">
        <v>6</v>
      </c>
      <c r="E44" s="39" t="s">
        <v>7</v>
      </c>
      <c r="F44" s="39" t="s">
        <v>8</v>
      </c>
      <c r="G44" s="39" t="s">
        <v>9</v>
      </c>
      <c r="H44" s="39" t="s">
        <v>10</v>
      </c>
      <c r="I44" s="39" t="s">
        <v>11</v>
      </c>
      <c r="J44" s="14"/>
      <c r="K44" s="11"/>
      <c r="L44" s="11" t="s">
        <v>4</v>
      </c>
      <c r="M44" s="11"/>
      <c r="N44" s="11"/>
      <c r="O44" s="11" t="s">
        <v>35</v>
      </c>
      <c r="P44" s="11"/>
      <c r="Q44" s="11"/>
      <c r="R44" s="11" t="s">
        <v>4</v>
      </c>
      <c r="S44" s="11" t="s">
        <v>11</v>
      </c>
      <c r="T44" s="11"/>
      <c r="U44" s="11"/>
      <c r="V44" s="11" t="s">
        <v>4</v>
      </c>
      <c r="W44" s="11" t="s">
        <v>11</v>
      </c>
      <c r="X44" s="11"/>
      <c r="Y44" s="11" t="s">
        <v>4</v>
      </c>
      <c r="Z44" s="11" t="s">
        <v>11</v>
      </c>
      <c r="AA44" s="11"/>
      <c r="AB44" s="11"/>
      <c r="AC44" s="11" t="s">
        <v>4</v>
      </c>
      <c r="AD44" s="11" t="s">
        <v>11</v>
      </c>
      <c r="AE44" s="11" t="s">
        <v>9</v>
      </c>
      <c r="AF44" s="11"/>
      <c r="AG44" s="11" t="s">
        <v>4</v>
      </c>
      <c r="AH44" s="11" t="s">
        <v>11</v>
      </c>
      <c r="AI44" s="11" t="s">
        <v>9</v>
      </c>
      <c r="AJ44" s="11"/>
      <c r="AK44" s="11" t="s">
        <v>4</v>
      </c>
      <c r="AL44" s="11" t="s">
        <v>11</v>
      </c>
      <c r="AM44" s="11" t="s">
        <v>9</v>
      </c>
      <c r="AN44" s="11"/>
      <c r="AO44" s="213" t="s">
        <v>4</v>
      </c>
      <c r="AP44" s="213" t="s">
        <v>11</v>
      </c>
      <c r="AQ44" s="213" t="s">
        <v>9</v>
      </c>
      <c r="AR44" s="12"/>
      <c r="AS44" s="12"/>
      <c r="AT44" s="12"/>
      <c r="AU44" s="12"/>
    </row>
    <row r="45" spans="1:47">
      <c r="A45" s="40" t="str">
        <f>time!F1</f>
        <v>Bélgica</v>
      </c>
      <c r="B45" s="41">
        <f>IF(Copa=FIFA,SUM(D45*3)+E45,0)</f>
        <v>5</v>
      </c>
      <c r="C45" s="42">
        <f>COUNT(Tabela!G47,Tabela!G48,Tabela!I50)</f>
        <v>3</v>
      </c>
      <c r="D45" s="42">
        <f>SUM(IF(Tabela!$G$47&gt;Tabela!$I$47,COUNT(Tabela!$G$47)),IF(Tabela!$G$48&gt;Tabela!$I$48,COUNT(Tabela!$G$48)),IF(Tabela!$I$50&gt;Tabela!$G$50,COUNT(Tabela!$I$50)))</f>
        <v>1</v>
      </c>
      <c r="E45" s="42">
        <f>SUM(IF(Tabela!$G$47=Tabela!$I$47,COUNT(Tabela!$G$47)),IF(Tabela!$G$48=Tabela!$I$48,COUNT(Tabela!$G$48)),IF(Tabela!$I$50=Tabela!$G$50,COUNT(Tabela!$I$50)))</f>
        <v>2</v>
      </c>
      <c r="F45" s="42">
        <f>SUM(IF(Tabela!$G$47&lt;Tabela!$I$47,COUNT(Tabela!$G$47)),IF(Tabela!$G$48&lt;Tabela!$I$48,COUNT(Tabela!$G$48)),IF(Tabela!$I$50&lt;Tabela!$G$50,COUNT(Tabela!$I$50)))</f>
        <v>0</v>
      </c>
      <c r="G45" s="42">
        <f>SUM(Tabela!G47+Tabela!G48+Tabela!I50)</f>
        <v>7</v>
      </c>
      <c r="H45" s="42">
        <f>SUM(Tabela!I47+Tabela!I48+Tabela!G50)</f>
        <v>5</v>
      </c>
      <c r="I45" s="42">
        <f>IF(BR20I4=Tabela!C2,SUM(G45-H45),"X")</f>
        <v>2</v>
      </c>
      <c r="J45" s="13"/>
      <c r="K45" s="11" t="str">
        <f>IF(B45&gt;=B46,A45,A46)</f>
        <v>Bélgica</v>
      </c>
      <c r="L45" s="11">
        <f>VLOOKUP(K45,$A$45:$I$48,2,FALSE)</f>
        <v>5</v>
      </c>
      <c r="M45" s="11"/>
      <c r="N45" s="11" t="str">
        <f>IF(L45&gt;=L47,K45,K47)</f>
        <v>Croácia</v>
      </c>
      <c r="O45" s="11">
        <f>VLOOKUP(N45,$A$45:$I$48,2,FALSE)</f>
        <v>7</v>
      </c>
      <c r="P45" s="11"/>
      <c r="Q45" s="11" t="str">
        <f>IF(O45&gt;=O48,N45,N48)</f>
        <v>Croácia</v>
      </c>
      <c r="R45" s="11">
        <f>VLOOKUP(Q45,$A$45:$I$48,2,FALSE)</f>
        <v>7</v>
      </c>
      <c r="S45" s="11">
        <f>VLOOKUP(Q45,$A$45:$I$48,9,FALSE)</f>
        <v>3</v>
      </c>
      <c r="T45" s="11"/>
      <c r="U45" s="11" t="str">
        <f>IF(AND(R45=R46,S46&gt;S45),Q46,Q45)</f>
        <v>Croácia</v>
      </c>
      <c r="V45" s="11">
        <f>VLOOKUP(U45,$A$45:$I$48,2,FALSE)</f>
        <v>7</v>
      </c>
      <c r="W45" s="11">
        <f>VLOOKUP(U45,$A$45:$I$48,9,FALSE)</f>
        <v>3</v>
      </c>
      <c r="X45" s="11" t="str">
        <f>IF(AND(V45=V47,W47&gt;W45),U47,U45)</f>
        <v>Croácia</v>
      </c>
      <c r="Y45" s="11">
        <f>VLOOKUP(X45,$A$45:$I$48,2,FALSE)</f>
        <v>7</v>
      </c>
      <c r="Z45" s="11">
        <f>VLOOKUP(X45,$A$45:$I$48,9,FALSE)</f>
        <v>3</v>
      </c>
      <c r="AA45" s="11"/>
      <c r="AB45" s="11" t="str">
        <f>IF(AND(Y45=Y48,Z48&gt;Z45),X48,X45)</f>
        <v>Croácia</v>
      </c>
      <c r="AC45" s="11">
        <f>VLOOKUP(AB45,$A$45:$I$48,2,FALSE)</f>
        <v>7</v>
      </c>
      <c r="AD45" s="11">
        <f>VLOOKUP(AB45,$A$45:$I$48,9,FALSE)</f>
        <v>3</v>
      </c>
      <c r="AE45" s="11">
        <f>VLOOKUP(AB45,$A$45:$I$48,7,FALSE)</f>
        <v>7</v>
      </c>
      <c r="AF45" s="11" t="str">
        <f>IF(AND(AC45=AC46,AD45=AD46,AE46&gt;AE45),AB46,AB45)</f>
        <v>Croácia</v>
      </c>
      <c r="AG45" s="11">
        <f>VLOOKUP(AF45,$A$45:$I$48,2,FALSE)</f>
        <v>7</v>
      </c>
      <c r="AH45" s="11">
        <f>VLOOKUP(AF45,$A$45:$I$48,9,FALSE)</f>
        <v>3</v>
      </c>
      <c r="AI45" s="11">
        <f>VLOOKUP(AF45,$A$45:$I$48,7,FALSE)</f>
        <v>7</v>
      </c>
      <c r="AJ45" s="11" t="str">
        <f>IF(AND(AG45=AG47,AH45=AH47,AI47&gt;AI45),AF47,AF45)</f>
        <v>Croácia</v>
      </c>
      <c r="AK45" s="11">
        <f>VLOOKUP(AJ45,$A$45:$I$48,2,FALSE)</f>
        <v>7</v>
      </c>
      <c r="AL45" s="11">
        <f>VLOOKUP(AJ45,$A$45:$I$48,9,FALSE)</f>
        <v>3</v>
      </c>
      <c r="AM45" s="11">
        <f>VLOOKUP(AJ45,$A$45:$I$48,7,FALSE)</f>
        <v>7</v>
      </c>
      <c r="AN45" s="11" t="str">
        <f>IF(AND(AK45=AK48,AL45=AL48,AM48&gt;AM45),AJ48,AJ45)</f>
        <v>Croácia</v>
      </c>
      <c r="AO45" s="213">
        <f>VLOOKUP(AN45,$A$45:$I$48,2,FALSE)</f>
        <v>7</v>
      </c>
      <c r="AP45" s="213">
        <f>IF(Tabela!N2="www.guiadecompra.com",VLOOKUP(AN45,$A$45:$I$48,9,FALSE),0)</f>
        <v>3</v>
      </c>
      <c r="AQ45" s="213">
        <f>VLOOKUP(AN45,$A$45:$I$48,7,FALSE)</f>
        <v>7</v>
      </c>
      <c r="AR45" s="12"/>
      <c r="AS45" s="12"/>
      <c r="AT45" s="12"/>
      <c r="AU45" s="12"/>
    </row>
    <row r="46" spans="1:47">
      <c r="A46" s="40" t="str">
        <f>time!F2</f>
        <v>Canadá</v>
      </c>
      <c r="B46" s="41">
        <f>IF(Copa=FIFA,SUM(D46*3)+E46,0)</f>
        <v>3</v>
      </c>
      <c r="C46" s="42">
        <f>COUNT(Tabela!I47,Tabela!I49,Tabela!G51)</f>
        <v>3</v>
      </c>
      <c r="D46" s="42">
        <f>SUM(IF(Tabela!$I$47&gt;Tabela!$G$47,COUNT(Tabela!$I$47)),IF(Tabela!$I$49&gt;Tabela!$G$49,COUNT(Tabela!$I$49)),IF(Tabela!$G$51&gt;Tabela!$I$51,COUNT(Tabela!$G$51)))</f>
        <v>1</v>
      </c>
      <c r="E46" s="42">
        <f>SUM(IF(Tabela!$I$47=Tabela!$G$47,COUNT(Tabela!$I$47)),IF(Tabela!$I$49=Tabela!$G$49,COUNT(Tabela!$I$49)),IF(Tabela!$G$51=Tabela!$I$51,COUNT(Tabela!$G$51)))</f>
        <v>0</v>
      </c>
      <c r="F46" s="42">
        <f>SUM(IF(Tabela!$I$47&lt;Tabela!$G$47,COUNT(Tabela!$I$47)),IF(Tabela!$I$49&lt;Tabela!$G$49,COUNT(Tabela!$I$49)),IF(Tabela!$G$51&lt;Tabela!$I$51,COUNT(Tabela!$G$51)))</f>
        <v>2</v>
      </c>
      <c r="G46" s="42">
        <f>SUM(Tabela!I47+Tabela!I49+Tabela!G51)</f>
        <v>4</v>
      </c>
      <c r="H46" s="42">
        <f>SUM(Tabela!G47+Tabela!G49+Tabela!I51)</f>
        <v>7</v>
      </c>
      <c r="I46" s="42">
        <f>IF(BR20I4=Tabela!C2,SUM(G46-H46),"X")</f>
        <v>-3</v>
      </c>
      <c r="J46" s="13"/>
      <c r="K46" s="11" t="str">
        <f>IF(B46&lt;=B45,A46,A45)</f>
        <v>Canadá</v>
      </c>
      <c r="L46" s="11">
        <f>VLOOKUP(K46,$A$45:$I$48,2,FALSE)</f>
        <v>3</v>
      </c>
      <c r="M46" s="11"/>
      <c r="N46" s="11" t="str">
        <f>IF(L46&gt;=L48,K46,K48)</f>
        <v>Canadá</v>
      </c>
      <c r="O46" s="11">
        <f>VLOOKUP(N46,$A$45:$I$48,2,FALSE)</f>
        <v>3</v>
      </c>
      <c r="P46" s="11"/>
      <c r="Q46" s="11" t="str">
        <f>IF(O46&gt;=O47,N46,N47)</f>
        <v>Bélgica</v>
      </c>
      <c r="R46" s="11">
        <f>VLOOKUP(Q46,$A$45:$I$48,2,FALSE)</f>
        <v>5</v>
      </c>
      <c r="S46" s="11">
        <f>VLOOKUP(Q46,$A$45:$I$48,9,FALSE)</f>
        <v>2</v>
      </c>
      <c r="T46" s="11"/>
      <c r="U46" s="11" t="str">
        <f>IF(AND(R45=R46,S46&gt;S45),Q45,Q46)</f>
        <v>Bélgica</v>
      </c>
      <c r="V46" s="11">
        <f>VLOOKUP(U46,$A$45:$I$48,2,FALSE)</f>
        <v>5</v>
      </c>
      <c r="W46" s="11">
        <f>VLOOKUP(U46,$A$45:$I$48,9,FALSE)</f>
        <v>2</v>
      </c>
      <c r="X46" s="11" t="str">
        <f>IF(AND(V46=V48,W48&gt;W46),U48,U46)</f>
        <v>Bélgica</v>
      </c>
      <c r="Y46" s="11">
        <f>VLOOKUP(X46,$A$45:$I$48,2,FALSE)</f>
        <v>5</v>
      </c>
      <c r="Z46" s="11">
        <f>VLOOKUP(X46,$A$45:$I$48,9,FALSE)</f>
        <v>2</v>
      </c>
      <c r="AA46" s="11"/>
      <c r="AB46" s="11" t="str">
        <f>IF(AND(Y46=Y47,Z47&gt;Z46),X47,X46)</f>
        <v>Bélgica</v>
      </c>
      <c r="AC46" s="11">
        <f>VLOOKUP(AB46,$A$45:$I$48,2,FALSE)</f>
        <v>5</v>
      </c>
      <c r="AD46" s="11">
        <f>VLOOKUP(AB46,$A$45:$I$48,9,FALSE)</f>
        <v>2</v>
      </c>
      <c r="AE46" s="11">
        <f>VLOOKUP(AB46,$A$45:$I$48,7,FALSE)</f>
        <v>7</v>
      </c>
      <c r="AF46" s="11" t="str">
        <f>IF(AND(AC46=AC45,AD46=AD45,AE46&gt;AE45),AB45,AB46)</f>
        <v>Bélgica</v>
      </c>
      <c r="AG46" s="11">
        <f>VLOOKUP(AF46,$A$45:$I$48,2,FALSE)</f>
        <v>5</v>
      </c>
      <c r="AH46" s="11">
        <f>VLOOKUP(AF46,$A$45:$I$48,9,FALSE)</f>
        <v>2</v>
      </c>
      <c r="AI46" s="11">
        <f>VLOOKUP(AF46,$A$45:$I$48,7,FALSE)</f>
        <v>7</v>
      </c>
      <c r="AJ46" s="11" t="str">
        <f>IF(AND(AG46=AG48,AH46=AH48,AI48&gt;AI46),AF48,AF46)</f>
        <v>Bélgica</v>
      </c>
      <c r="AK46" s="11">
        <f>VLOOKUP(AJ46,$A$45:$I$48,2,FALSE)</f>
        <v>5</v>
      </c>
      <c r="AL46" s="11">
        <f>VLOOKUP(AJ46,$A$45:$I$48,9,FALSE)</f>
        <v>2</v>
      </c>
      <c r="AM46" s="11">
        <f>VLOOKUP(AJ46,$A$45:$I$48,7,FALSE)</f>
        <v>7</v>
      </c>
      <c r="AN46" s="11" t="str">
        <f>IF(AND(AK46=AK47,AL46=AL47,AM47&gt;AM46),AJ47,AJ46)</f>
        <v>Bélgica</v>
      </c>
      <c r="AO46" s="213">
        <f>VLOOKUP(AN46,$A$45:$I$48,2,FALSE)</f>
        <v>5</v>
      </c>
      <c r="AP46" s="213">
        <f>IF(Tabela!N2="www.guiadecompra.com",VLOOKUP(AN46,$A$45:$I$48,9,FALSE),0)</f>
        <v>2</v>
      </c>
      <c r="AQ46" s="213">
        <f>VLOOKUP(AN46,$A$45:$I$48,7,FALSE)</f>
        <v>7</v>
      </c>
      <c r="AR46" s="12"/>
      <c r="AS46" s="12"/>
      <c r="AT46" s="12"/>
      <c r="AU46" s="12"/>
    </row>
    <row r="47" spans="1:47">
      <c r="A47" s="40" t="str">
        <f>time!F3</f>
        <v>Marrocos</v>
      </c>
      <c r="B47" s="41">
        <f>IF(Copa=FIFA,SUM(D47*3)+E47,0)</f>
        <v>1</v>
      </c>
      <c r="C47" s="42">
        <f>COUNT(Tabela!G46,Tabela!I48,Tabela!I51)</f>
        <v>3</v>
      </c>
      <c r="D47" s="42">
        <f>SUM(IF(Tabela!$G$46&gt;Tabela!$I$46,COUNT(Tabela!$G$46)),IF(Tabela!$I$48&gt;Tabela!$G$48,COUNT(Tabela!$I$48)),IF(Tabela!$I$51&gt;Tabela!$G$51,COUNT(Tabela!$I$51)))</f>
        <v>0</v>
      </c>
      <c r="E47" s="42">
        <f>SUM(IF(Tabela!$G$46=Tabela!$I$46,COUNT(Tabela!$G$46)),IF(Tabela!$I$48=Tabela!$G$48,COUNT(Tabela!$I$48)),IF(Tabela!$I$51=Tabela!$G$51,COUNT(Tabela!$I$51)))</f>
        <v>1</v>
      </c>
      <c r="F47" s="42">
        <f>SUM(IF(Tabela!$G$46&lt;Tabela!$I$46,COUNT(Tabela!$G$46)),IF(Tabela!$I$48&lt;Tabela!$G$48,COUNT(Tabela!$I$48)),IF(Tabela!$I$51&lt;Tabela!$G$51,COUNT(Tabela!$I$51)))</f>
        <v>2</v>
      </c>
      <c r="G47" s="42">
        <f>SUM(Tabela!G46+Tabela!I48+Tabela!I51)</f>
        <v>4</v>
      </c>
      <c r="H47" s="42">
        <f>SUM(Tabela!I46+Tabela!G48+Tabela!G51)</f>
        <v>6</v>
      </c>
      <c r="I47" s="42">
        <f>IF(BR20I4=Tabela!C2,SUM(G47-H47),"X")</f>
        <v>-2</v>
      </c>
      <c r="J47" s="13"/>
      <c r="K47" s="11" t="str">
        <f>IF(B47&gt;=B48,A47,A48)</f>
        <v>Croácia</v>
      </c>
      <c r="L47" s="11">
        <f>VLOOKUP(K47,$A$45:$I$48,2,FALSE)</f>
        <v>7</v>
      </c>
      <c r="M47" s="11"/>
      <c r="N47" s="11" t="str">
        <f>IF(L47&lt;=L45,K47,K45)</f>
        <v>Bélgica</v>
      </c>
      <c r="O47" s="11">
        <f>VLOOKUP(N47,$A$45:$I$48,2,FALSE)</f>
        <v>5</v>
      </c>
      <c r="P47" s="11"/>
      <c r="Q47" s="11" t="str">
        <f>IF(O47&lt;=O46,N47,N46)</f>
        <v>Canadá</v>
      </c>
      <c r="R47" s="11">
        <f>VLOOKUP(Q47,$A$45:$I$48,2,FALSE)</f>
        <v>3</v>
      </c>
      <c r="S47" s="11">
        <f>VLOOKUP(Q47,$A$45:$I$48,9,FALSE)</f>
        <v>-3</v>
      </c>
      <c r="T47" s="11"/>
      <c r="U47" s="11" t="str">
        <f>IF(AND(R47=R48,S48&gt;S47),Q48,Q47)</f>
        <v>Canadá</v>
      </c>
      <c r="V47" s="11">
        <f>VLOOKUP(U47,$A$45:$I$48,2,FALSE)</f>
        <v>3</v>
      </c>
      <c r="W47" s="11">
        <f>VLOOKUP(U47,$A$45:$I$48,9,FALSE)</f>
        <v>-3</v>
      </c>
      <c r="X47" s="11" t="str">
        <f>IF(AND(V45=V47,W47&gt;W45),U45,U47)</f>
        <v>Canadá</v>
      </c>
      <c r="Y47" s="11">
        <f>VLOOKUP(X47,$A$45:$I$48,2,FALSE)</f>
        <v>3</v>
      </c>
      <c r="Z47" s="11">
        <f>VLOOKUP(X47,$A$45:$I$48,9,FALSE)</f>
        <v>-3</v>
      </c>
      <c r="AA47" s="11"/>
      <c r="AB47" s="11" t="str">
        <f>IF(AND(Y47=Y46,Z47&gt;Z46),X46,X47)</f>
        <v>Canadá</v>
      </c>
      <c r="AC47" s="11">
        <f>VLOOKUP(AB47,$A$45:$I$48,2,FALSE)</f>
        <v>3</v>
      </c>
      <c r="AD47" s="11">
        <f>VLOOKUP(AB47,$A$45:$I$48,9,FALSE)</f>
        <v>-3</v>
      </c>
      <c r="AE47" s="11">
        <f>VLOOKUP(AB47,$A$45:$I$48,7,FALSE)</f>
        <v>4</v>
      </c>
      <c r="AF47" s="11" t="str">
        <f>IF(AND(AC47=AC48,AD47=AD48,AE48&gt;AE47),AB48,AB47)</f>
        <v>Canadá</v>
      </c>
      <c r="AG47" s="11">
        <f>VLOOKUP(AF47,$A$45:$I$48,2,FALSE)</f>
        <v>3</v>
      </c>
      <c r="AH47" s="11">
        <f>VLOOKUP(AF47,$A$45:$I$48,9,FALSE)</f>
        <v>-3</v>
      </c>
      <c r="AI47" s="11">
        <f>VLOOKUP(AF47,$A$45:$I$48,7,FALSE)</f>
        <v>4</v>
      </c>
      <c r="AJ47" s="11" t="str">
        <f>IF(AND(AG47=AG45,AH47=AH45,AI47&gt;AI45),AF45,AF47)</f>
        <v>Canadá</v>
      </c>
      <c r="AK47" s="11">
        <f>VLOOKUP(AJ47,$A$45:$I$48,2,FALSE)</f>
        <v>3</v>
      </c>
      <c r="AL47" s="11">
        <f>VLOOKUP(AJ47,$A$45:$I$48,9,FALSE)</f>
        <v>-3</v>
      </c>
      <c r="AM47" s="11">
        <f>VLOOKUP(AJ47,$A$45:$I$48,7,FALSE)</f>
        <v>4</v>
      </c>
      <c r="AN47" s="11" t="str">
        <f>IF(AND(AK47=AK46,AL47=AL46,AM47&gt;AM46),AJ46,AJ47)</f>
        <v>Canadá</v>
      </c>
      <c r="AO47" s="213">
        <f>VLOOKUP(AN47,$A$45:$I$48,2,FALSE)</f>
        <v>3</v>
      </c>
      <c r="AP47" s="213">
        <f>IF(Tabela!N2="www.guiadecompra.com",VLOOKUP(AN47,$A$45:$I$48,9,FALSE),0)</f>
        <v>-3</v>
      </c>
      <c r="AQ47" s="213">
        <f>VLOOKUP(AN47,$A$45:$I$48,7,FALSE)</f>
        <v>4</v>
      </c>
      <c r="AR47" s="12"/>
      <c r="AS47" s="12"/>
      <c r="AT47" s="12"/>
      <c r="AU47" s="12"/>
    </row>
    <row r="48" spans="1:47">
      <c r="A48" s="40" t="str">
        <f>time!F4</f>
        <v>Croácia</v>
      </c>
      <c r="B48" s="41">
        <f>IF(Copa=FIFA,SUM(D48*3)+E48,0)</f>
        <v>7</v>
      </c>
      <c r="C48" s="42">
        <f>COUNT(Tabela!I46,Tabela!G49,Tabela!G50)</f>
        <v>3</v>
      </c>
      <c r="D48" s="42">
        <f>SUM(IF(Tabela!$I$46&gt;Tabela!$G$46,COUNT(Tabela!$I$46)),IF(Tabela!$G$49&gt;Tabela!$I$49,COUNT(Tabela!$G$49)),IF(Tabela!$G$50&gt;Tabela!$I$50,COUNT(Tabela!$G$50)))</f>
        <v>2</v>
      </c>
      <c r="E48" s="42">
        <f>SUM(IF(Tabela!$I$46=Tabela!$G$46,COUNT(Tabela!$I$46)),IF(Tabela!$G$49=Tabela!$I$49,COUNT(Tabela!$G$49)),IF(Tabela!$G$50=Tabela!$I$50,COUNT(Tabela!$G$50)))</f>
        <v>1</v>
      </c>
      <c r="F48" s="42">
        <f>SUM(IF(Tabela!$I$46&lt;Tabela!$G$46,COUNT(Tabela!$I$46)),IF(Tabela!$G$49&lt;Tabela!$I$49,COUNT(Tabela!$G$49)),IF(Tabela!$G$50&lt;Tabela!$I$50,COUNT(Tabela!$G$50)))</f>
        <v>0</v>
      </c>
      <c r="G48" s="42">
        <f>SUM(Tabela!I46+Tabela!G49+Tabela!G50)</f>
        <v>7</v>
      </c>
      <c r="H48" s="42">
        <f>SUM(Tabela!G46+Tabela!I49+Tabela!I50)</f>
        <v>4</v>
      </c>
      <c r="I48" s="42">
        <f>IF(BR20I4=Tabela!C2,SUM(G48-H48),"X")</f>
        <v>3</v>
      </c>
      <c r="J48" s="13"/>
      <c r="K48" s="11" t="str">
        <f>IF(B48&lt;=B47,A48,A47)</f>
        <v>Marrocos</v>
      </c>
      <c r="L48" s="11">
        <f>VLOOKUP(K48,$A$45:$I$48,2,FALSE)</f>
        <v>1</v>
      </c>
      <c r="M48" s="11"/>
      <c r="N48" s="11" t="str">
        <f>IF(L48&lt;=L46,K48,K46)</f>
        <v>Marrocos</v>
      </c>
      <c r="O48" s="11">
        <f>VLOOKUP(N48,$A$45:$I$48,2,FALSE)</f>
        <v>1</v>
      </c>
      <c r="P48" s="11"/>
      <c r="Q48" s="11" t="str">
        <f>IF(O48&lt;=O45,N48,N45)</f>
        <v>Marrocos</v>
      </c>
      <c r="R48" s="11">
        <f>VLOOKUP(Q48,$A$45:$I$48,2,FALSE)</f>
        <v>1</v>
      </c>
      <c r="S48" s="11">
        <f>VLOOKUP(Q48,$A$45:$I$48,9,FALSE)</f>
        <v>-2</v>
      </c>
      <c r="T48" s="11"/>
      <c r="U48" s="11" t="str">
        <f>IF(AND(R47=R48,S48&gt;S47),Q47,Q48)</f>
        <v>Marrocos</v>
      </c>
      <c r="V48" s="11">
        <f>VLOOKUP(U48,$A$45:$I$48,2,FALSE)</f>
        <v>1</v>
      </c>
      <c r="W48" s="11">
        <f>VLOOKUP(U48,$A$45:$I$48,9,FALSE)</f>
        <v>-2</v>
      </c>
      <c r="X48" s="11" t="str">
        <f>IF(AND(V46=V48,W48&gt;W46),U46,U48)</f>
        <v>Marrocos</v>
      </c>
      <c r="Y48" s="11">
        <f>VLOOKUP(X48,$A$45:$I$48,2,FALSE)</f>
        <v>1</v>
      </c>
      <c r="Z48" s="11">
        <f>VLOOKUP(X48,$A$45:$I$48,9,FALSE)</f>
        <v>-2</v>
      </c>
      <c r="AA48" s="11"/>
      <c r="AB48" s="11" t="str">
        <f>IF(AND(Y48=Y45,Z48&gt;Z45),X45,X48)</f>
        <v>Marrocos</v>
      </c>
      <c r="AC48" s="11">
        <f>VLOOKUP(AB48,$A$45:$I$48,2,FALSE)</f>
        <v>1</v>
      </c>
      <c r="AD48" s="11">
        <f>VLOOKUP(AB48,$A$45:$I$48,9,FALSE)</f>
        <v>-2</v>
      </c>
      <c r="AE48" s="11">
        <f>VLOOKUP(AB48,$A$45:$I$48,7,FALSE)</f>
        <v>4</v>
      </c>
      <c r="AF48" s="11" t="str">
        <f>IF(AND(AC48=AC47,AD48=AD47,AE48&gt;AE47),X47,X48)</f>
        <v>Marrocos</v>
      </c>
      <c r="AG48" s="11">
        <f>VLOOKUP(AF48,$A$45:$I$48,2,FALSE)</f>
        <v>1</v>
      </c>
      <c r="AH48" s="11">
        <f>VLOOKUP(AF48,$A$45:$I$48,9,FALSE)</f>
        <v>-2</v>
      </c>
      <c r="AI48" s="11">
        <f>VLOOKUP(AF48,$A$45:$I$48,7,FALSE)</f>
        <v>4</v>
      </c>
      <c r="AJ48" s="11" t="str">
        <f>IF(AND(AG46=AG48,AH46=AH48,AI48&gt;AI46),AF46,AF48)</f>
        <v>Marrocos</v>
      </c>
      <c r="AK48" s="11">
        <f>VLOOKUP(AJ48,$A$45:$I$48,2,FALSE)</f>
        <v>1</v>
      </c>
      <c r="AL48" s="11">
        <f>VLOOKUP(AJ48,$A$45:$I$48,9,FALSE)</f>
        <v>-2</v>
      </c>
      <c r="AM48" s="11">
        <f>VLOOKUP(AJ48,$A$45:$I$48,7,FALSE)</f>
        <v>4</v>
      </c>
      <c r="AN48" s="11" t="str">
        <f>IF(AND(AK48=AK45,AL48=AL45,AM48&gt;AM45),AJ45,AJ48)</f>
        <v>Marrocos</v>
      </c>
      <c r="AO48" s="213">
        <f>VLOOKUP(AN48,$A$45:$I$48,2,FALSE)</f>
        <v>1</v>
      </c>
      <c r="AP48" s="213">
        <f>IF(Tabela!N2="www.guiadecompra.com",VLOOKUP(AN48,$A$45:$I$48,9,FALSE),0)</f>
        <v>-2</v>
      </c>
      <c r="AQ48" s="213">
        <f>VLOOKUP(AN48,$A$45:$I$48,7,FALSE)</f>
        <v>4</v>
      </c>
      <c r="AR48" s="12"/>
      <c r="AS48" s="12"/>
      <c r="AT48" s="12"/>
      <c r="AU48" s="12"/>
    </row>
    <row r="49" spans="1:47">
      <c r="A49" s="5"/>
      <c r="B49" s="7"/>
      <c r="C49" s="7"/>
      <c r="D49" s="7"/>
      <c r="E49" s="7"/>
      <c r="F49" s="7"/>
      <c r="G49" s="7"/>
      <c r="H49" s="7"/>
      <c r="I49" s="7"/>
      <c r="J49" s="7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213"/>
      <c r="AP49" s="213"/>
      <c r="AQ49" s="213"/>
      <c r="AR49" s="12"/>
      <c r="AS49" s="12"/>
      <c r="AT49" s="12"/>
      <c r="AU49" s="12"/>
    </row>
    <row r="50" spans="1:47">
      <c r="A50" s="5"/>
      <c r="B50" s="7"/>
      <c r="C50" s="7"/>
      <c r="D50" s="7"/>
      <c r="E50" s="7"/>
      <c r="F50" s="7"/>
      <c r="G50" s="7"/>
      <c r="H50" s="7"/>
      <c r="I50" s="7"/>
      <c r="J50" s="7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213"/>
      <c r="AP50" s="213"/>
      <c r="AQ50" s="213"/>
      <c r="AR50" s="12"/>
      <c r="AS50" s="12"/>
      <c r="AT50" s="12"/>
      <c r="AU50" s="12"/>
    </row>
    <row r="51" spans="1:47">
      <c r="A51" s="5"/>
      <c r="B51" s="416" t="s">
        <v>41</v>
      </c>
      <c r="C51" s="416"/>
      <c r="D51" s="416"/>
      <c r="E51" s="416"/>
      <c r="F51" s="416"/>
      <c r="G51" s="416"/>
      <c r="H51" s="416"/>
      <c r="I51" s="416"/>
      <c r="J51" s="7"/>
      <c r="K51" s="11" t="s">
        <v>31</v>
      </c>
      <c r="L51" s="11"/>
      <c r="M51" s="11"/>
      <c r="N51" s="11" t="s">
        <v>32</v>
      </c>
      <c r="O51" s="11"/>
      <c r="P51" s="11"/>
      <c r="Q51" s="11" t="s">
        <v>33</v>
      </c>
      <c r="R51" s="11"/>
      <c r="S51" s="11"/>
      <c r="T51" s="11"/>
      <c r="U51" s="11" t="s">
        <v>33</v>
      </c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213"/>
      <c r="AP51" s="213"/>
      <c r="AQ51" s="213"/>
      <c r="AR51" s="12"/>
      <c r="AS51" s="12"/>
      <c r="AT51" s="12"/>
      <c r="AU51" s="12"/>
    </row>
    <row r="52" spans="1:47">
      <c r="A52" s="37" t="s">
        <v>34</v>
      </c>
      <c r="B52" s="38" t="s">
        <v>4</v>
      </c>
      <c r="C52" s="39" t="s">
        <v>5</v>
      </c>
      <c r="D52" s="39" t="s">
        <v>6</v>
      </c>
      <c r="E52" s="39" t="s">
        <v>7</v>
      </c>
      <c r="F52" s="39" t="s">
        <v>8</v>
      </c>
      <c r="G52" s="39" t="s">
        <v>9</v>
      </c>
      <c r="H52" s="39" t="s">
        <v>10</v>
      </c>
      <c r="I52" s="39" t="s">
        <v>11</v>
      </c>
      <c r="J52" s="14"/>
      <c r="K52" s="11"/>
      <c r="L52" s="11" t="s">
        <v>4</v>
      </c>
      <c r="M52" s="11"/>
      <c r="N52" s="11"/>
      <c r="O52" s="11" t="s">
        <v>35</v>
      </c>
      <c r="P52" s="11"/>
      <c r="Q52" s="11"/>
      <c r="R52" s="11" t="s">
        <v>4</v>
      </c>
      <c r="S52" s="11" t="s">
        <v>11</v>
      </c>
      <c r="T52" s="11"/>
      <c r="U52" s="11"/>
      <c r="V52" s="11" t="s">
        <v>4</v>
      </c>
      <c r="W52" s="11" t="s">
        <v>11</v>
      </c>
      <c r="X52" s="11"/>
      <c r="Y52" s="11" t="s">
        <v>4</v>
      </c>
      <c r="Z52" s="11" t="s">
        <v>11</v>
      </c>
      <c r="AA52" s="11"/>
      <c r="AB52" s="11"/>
      <c r="AC52" s="11" t="s">
        <v>4</v>
      </c>
      <c r="AD52" s="11" t="s">
        <v>11</v>
      </c>
      <c r="AE52" s="11" t="s">
        <v>9</v>
      </c>
      <c r="AF52" s="11"/>
      <c r="AG52" s="11" t="s">
        <v>4</v>
      </c>
      <c r="AH52" s="11" t="s">
        <v>11</v>
      </c>
      <c r="AI52" s="11" t="s">
        <v>9</v>
      </c>
      <c r="AJ52" s="11"/>
      <c r="AK52" s="11" t="s">
        <v>4</v>
      </c>
      <c r="AL52" s="11" t="s">
        <v>11</v>
      </c>
      <c r="AM52" s="11" t="s">
        <v>9</v>
      </c>
      <c r="AN52" s="11"/>
      <c r="AO52" s="213" t="s">
        <v>4</v>
      </c>
      <c r="AP52" s="213" t="s">
        <v>11</v>
      </c>
      <c r="AQ52" s="213" t="s">
        <v>9</v>
      </c>
      <c r="AR52" s="12"/>
      <c r="AS52" s="12"/>
      <c r="AT52" s="12"/>
      <c r="AU52" s="12"/>
    </row>
    <row r="53" spans="1:47">
      <c r="A53" s="40" t="str">
        <f>time!G1</f>
        <v>Brasil</v>
      </c>
      <c r="B53" s="41">
        <f>IF(Copa=FIFA,SUM(D53*3)+E53,0)</f>
        <v>9</v>
      </c>
      <c r="C53" s="42">
        <f>COUNT(Tabela!G55,Tabela!G57,Tabela!I58)</f>
        <v>3</v>
      </c>
      <c r="D53" s="42">
        <f>SUM(IF(Tabela!$G$55&gt;Tabela!$I$55,COUNT(Tabela!$G$55)),IF(Tabela!$G$57&gt;Tabela!$I$57,COUNT(Tabela!$G$57)),IF(Tabela!$I$58&gt;Tabela!$G$58,COUNT(Tabela!$I$58)))</f>
        <v>3</v>
      </c>
      <c r="E53" s="42">
        <f>SUM(IF(Tabela!$G$55=Tabela!$I$55,COUNT(Tabela!$G$55)),IF(Tabela!$G$57=Tabela!$I$57,COUNT(Tabela!$G$57)),IF(Tabela!$I$58=Tabela!$G$58,COUNT(Tabela!$I$58)))</f>
        <v>0</v>
      </c>
      <c r="F53" s="42">
        <f>SUM(IF(Tabela!$G$55&lt;Tabela!$I$55,COUNT(Tabela!$G$55)),IF(Tabela!$G$57&lt;Tabela!$I$57,COUNT(Tabela!$G$57)),IF(Tabela!$I$58&lt;Tabela!$G$58,COUNT(Tabela!$I$58)))</f>
        <v>0</v>
      </c>
      <c r="G53" s="42">
        <f>SUM(Tabela!G55+Tabela!G57+Tabela!I58)</f>
        <v>8</v>
      </c>
      <c r="H53" s="42">
        <f>SUM(Tabela!I55+Tabela!I57+Tabela!G58)</f>
        <v>1</v>
      </c>
      <c r="I53" s="42">
        <f>IF(BR20I4=Tabela!C2,SUM(G53-H53),"X")</f>
        <v>7</v>
      </c>
      <c r="J53" s="13"/>
      <c r="K53" s="11" t="str">
        <f>IF(B53&gt;=B54,A53,A54)</f>
        <v>Brasil</v>
      </c>
      <c r="L53" s="11">
        <f>VLOOKUP(K53,$A$53:$I$56,2,FALSE)</f>
        <v>9</v>
      </c>
      <c r="M53" s="11"/>
      <c r="N53" s="11" t="str">
        <f>IF(L53&gt;=L55,K53,K55)</f>
        <v>Brasil</v>
      </c>
      <c r="O53" s="11">
        <f>VLOOKUP(N53,$A$53:$I$56,2,FALSE)</f>
        <v>9</v>
      </c>
      <c r="P53" s="11"/>
      <c r="Q53" s="11" t="str">
        <f>IF(O53&gt;=O56,N53,N56)</f>
        <v>Brasil</v>
      </c>
      <c r="R53" s="11">
        <f>VLOOKUP(Q53,$A$53:$I$56,2,FALSE)</f>
        <v>9</v>
      </c>
      <c r="S53" s="11">
        <f>VLOOKUP(Q53,$A$53:$I$56,9,FALSE)</f>
        <v>7</v>
      </c>
      <c r="T53" s="11"/>
      <c r="U53" s="11" t="str">
        <f>IF(AND(R53=R54,S54&gt;S53),Q54,Q53)</f>
        <v>Brasil</v>
      </c>
      <c r="V53" s="11">
        <f>VLOOKUP(U53,$A$53:$I$56,2,FALSE)</f>
        <v>9</v>
      </c>
      <c r="W53" s="11">
        <f>VLOOKUP(U53,$A$53:$I$56,9,FALSE)</f>
        <v>7</v>
      </c>
      <c r="X53" s="11" t="str">
        <f>IF(AND(V53=V55,W55&gt;W53),U55,U53)</f>
        <v>Brasil</v>
      </c>
      <c r="Y53" s="11">
        <f>VLOOKUP(X53,$A$53:$I$56,2,FALSE)</f>
        <v>9</v>
      </c>
      <c r="Z53" s="11">
        <f>VLOOKUP(X53,$A$53:$I$56,9,FALSE)</f>
        <v>7</v>
      </c>
      <c r="AA53" s="11"/>
      <c r="AB53" s="11" t="str">
        <f>IF(AND(Y53=Y56,Z56&gt;Z53),X56,X53)</f>
        <v>Brasil</v>
      </c>
      <c r="AC53" s="11">
        <f>VLOOKUP(AB53,$A$53:$I$56,2,FALSE)</f>
        <v>9</v>
      </c>
      <c r="AD53" s="11">
        <f>VLOOKUP(AB53,$A$53:$I$56,9,FALSE)</f>
        <v>7</v>
      </c>
      <c r="AE53" s="11">
        <f>VLOOKUP(AB53,$A$53:$I$56,7,FALSE)</f>
        <v>8</v>
      </c>
      <c r="AF53" s="11" t="str">
        <f>IF(AND(AC53=AC54,AD53=AD54,AE54&gt;AE53),AB54,AB53)</f>
        <v>Brasil</v>
      </c>
      <c r="AG53" s="11">
        <f>VLOOKUP(AF53,$A$53:$I$56,2,FALSE)</f>
        <v>9</v>
      </c>
      <c r="AH53" s="11">
        <f>VLOOKUP(AF53,$A$53:$I$56,9,FALSE)</f>
        <v>7</v>
      </c>
      <c r="AI53" s="11">
        <f>VLOOKUP(AF53,$A$53:$I$56,7,FALSE)</f>
        <v>8</v>
      </c>
      <c r="AJ53" s="11" t="str">
        <f>IF(AND(AG53=AG55,AH53=AH55,AI55&gt;AI53),AF55,AF53)</f>
        <v>Brasil</v>
      </c>
      <c r="AK53" s="11">
        <f>VLOOKUP(AJ53,$A$53:$I$56,2,FALSE)</f>
        <v>9</v>
      </c>
      <c r="AL53" s="11">
        <f>VLOOKUP(AJ53,$A$53:$I$56,9,FALSE)</f>
        <v>7</v>
      </c>
      <c r="AM53" s="11">
        <f>VLOOKUP(AJ53,$A$53:$I$56,7,FALSE)</f>
        <v>8</v>
      </c>
      <c r="AN53" s="11" t="str">
        <f>IF(AND(AK53=AK56,AL53=AL56,AM56&gt;AM53),AJ56,AJ53)</f>
        <v>Brasil</v>
      </c>
      <c r="AO53" s="213">
        <f>VLOOKUP(AN53,$A$53:$I$56,2,FALSE)</f>
        <v>9</v>
      </c>
      <c r="AP53" s="213">
        <f>IF(Tabela!N2="www.guiadecompra.com",VLOOKUP(AN53,$A$53:$I$56,9,FALSE),0)</f>
        <v>7</v>
      </c>
      <c r="AQ53" s="213">
        <f>VLOOKUP(AN53,$A$53:$I$56,7,FALSE)</f>
        <v>8</v>
      </c>
      <c r="AR53" s="12"/>
      <c r="AS53" s="12"/>
      <c r="AT53" s="12"/>
      <c r="AU53" s="12"/>
    </row>
    <row r="54" spans="1:47">
      <c r="A54" s="40" t="str">
        <f>time!G2</f>
        <v>Sérvia</v>
      </c>
      <c r="B54" s="41">
        <f>IF(Copa=FIFA,SUM(D54*3)+E54,0)</f>
        <v>1</v>
      </c>
      <c r="C54" s="42">
        <f>COUNT(Tabela!I55,Tabela!I56,Tabela!G59)</f>
        <v>3</v>
      </c>
      <c r="D54" s="42">
        <f>SUM(IF(Tabela!$I$55&gt;Tabela!$G$55,COUNT(Tabela!$I$55)),IF(Tabela!$I$56&gt;Tabela!$G$56,COUNT(Tabela!$I$56)),IF(Tabela!$G$59&gt;Tabela!$I$59,COUNT(Tabela!$G$59)))</f>
        <v>0</v>
      </c>
      <c r="E54" s="42">
        <f>SUM(IF(Tabela!$I$55=Tabela!$G$55,COUNT(Tabela!$I$55)),IF(Tabela!$I$56=Tabela!$G$56,COUNT(Tabela!$I$56)),IF(Tabela!$G$59=Tabela!$I$59,COUNT(Tabela!$G$59)))</f>
        <v>1</v>
      </c>
      <c r="F54" s="42">
        <f>SUM(IF(Tabela!$I$55&lt;Tabela!$G$55,COUNT(Tabela!$I$55)),IF(Tabela!$I$56&lt;Tabela!$G$56,COUNT(Tabela!$I$56)),IF(Tabela!$G$59&lt;Tabela!$I$59,COUNT(Tabela!$G$59)))</f>
        <v>2</v>
      </c>
      <c r="G54" s="42">
        <f>SUM(Tabela!I55+Tabela!I56+Tabela!G59)</f>
        <v>3</v>
      </c>
      <c r="H54" s="42">
        <f>SUM(Tabela!G55+Tabela!G56+Tabela!I59)</f>
        <v>6</v>
      </c>
      <c r="I54" s="42">
        <f>IF(BR20I4=Tabela!C2,SUM(G54-H54),"X")</f>
        <v>-3</v>
      </c>
      <c r="J54" s="13"/>
      <c r="K54" s="11" t="str">
        <f>IF(B54&lt;=B53,A54,A53)</f>
        <v>Sérvia</v>
      </c>
      <c r="L54" s="11">
        <f>VLOOKUP(K54,$A$53:$I$56,2,FALSE)</f>
        <v>1</v>
      </c>
      <c r="M54" s="11"/>
      <c r="N54" s="11" t="str">
        <f>IF(L54&gt;=L56,K54,K56)</f>
        <v>Camarões</v>
      </c>
      <c r="O54" s="11">
        <f>VLOOKUP(N54,$A$53:$I$56,2,FALSE)</f>
        <v>3</v>
      </c>
      <c r="P54" s="11"/>
      <c r="Q54" s="11" t="str">
        <f>IF(O54&gt;=O55,N54,N55)</f>
        <v>Suiça</v>
      </c>
      <c r="R54" s="11">
        <f>VLOOKUP(Q54,$A$53:$I$56,2,FALSE)</f>
        <v>4</v>
      </c>
      <c r="S54" s="11">
        <f>VLOOKUP(Q54,$A$53:$I$56,9,FALSE)</f>
        <v>-1</v>
      </c>
      <c r="T54" s="11"/>
      <c r="U54" s="11" t="str">
        <f>IF(AND(R53=R54,S54&gt;S53),Q53,Q54)</f>
        <v>Suiça</v>
      </c>
      <c r="V54" s="11">
        <f>VLOOKUP(U54,$A$53:$I$56,2,FALSE)</f>
        <v>4</v>
      </c>
      <c r="W54" s="11">
        <f>VLOOKUP(U54,$A$53:$I$56,9,FALSE)</f>
        <v>-1</v>
      </c>
      <c r="X54" s="11" t="str">
        <f>IF(AND(V54=V56,W56&gt;W54),U56,U54)</f>
        <v>Suiça</v>
      </c>
      <c r="Y54" s="11">
        <f>VLOOKUP(X54,$A$53:$I$56,2,FALSE)</f>
        <v>4</v>
      </c>
      <c r="Z54" s="11">
        <f>VLOOKUP(X54,$A$53:$I$56,9,FALSE)</f>
        <v>-1</v>
      </c>
      <c r="AA54" s="11"/>
      <c r="AB54" s="11" t="str">
        <f>IF(AND(Y54=Y55,Z55&gt;Z54),X55,X54)</f>
        <v>Suiça</v>
      </c>
      <c r="AC54" s="11">
        <f>VLOOKUP(AB54,$A$53:$I$56,2,FALSE)</f>
        <v>4</v>
      </c>
      <c r="AD54" s="11">
        <f>VLOOKUP(AB54,$A$53:$I$56,9,FALSE)</f>
        <v>-1</v>
      </c>
      <c r="AE54" s="11">
        <f>VLOOKUP(AB54,$A$53:$I$56,7,FALSE)</f>
        <v>4</v>
      </c>
      <c r="AF54" s="11" t="str">
        <f>IF(AND(AC54=AC53,AD54=AD53,AE54&gt;AE53),AB53,AB54)</f>
        <v>Suiça</v>
      </c>
      <c r="AG54" s="11">
        <f>VLOOKUP(AF54,$A$53:$I$56,2,FALSE)</f>
        <v>4</v>
      </c>
      <c r="AH54" s="11">
        <f>VLOOKUP(AF54,$A$53:$I$56,9,FALSE)</f>
        <v>-1</v>
      </c>
      <c r="AI54" s="11">
        <f>VLOOKUP(AF54,$A$53:$I$56,7,FALSE)</f>
        <v>4</v>
      </c>
      <c r="AJ54" s="11" t="str">
        <f>IF(AND(AG54=AG56,AH54=AH56,AI56&gt;AI54),AF56,AF54)</f>
        <v>Suiça</v>
      </c>
      <c r="AK54" s="11">
        <f>VLOOKUP(AJ54,$A$53:$I$56,2,FALSE)</f>
        <v>4</v>
      </c>
      <c r="AL54" s="11">
        <f>VLOOKUP(AJ54,$A$53:$I$56,9,FALSE)</f>
        <v>-1</v>
      </c>
      <c r="AM54" s="11">
        <f>VLOOKUP(AJ54,$A$53:$I$56,7,FALSE)</f>
        <v>4</v>
      </c>
      <c r="AN54" s="11" t="str">
        <f>IF(AND(AK54=AK55,AL54=AL55,AM55&gt;AM54),AJ55,AJ54)</f>
        <v>Suiça</v>
      </c>
      <c r="AO54" s="213">
        <f>VLOOKUP(AN54,$A$53:$I$56,2,FALSE)</f>
        <v>4</v>
      </c>
      <c r="AP54" s="213">
        <f>IF(Tabela!N2="www.guiadecompra.com",VLOOKUP(AN54,$A$53:$I$56,9,FALSE),0)</f>
        <v>-1</v>
      </c>
      <c r="AQ54" s="213">
        <f>VLOOKUP(AN54,$A$53:$I$56,7,FALSE)</f>
        <v>4</v>
      </c>
      <c r="AR54" s="12"/>
      <c r="AS54" s="12"/>
      <c r="AT54" s="12"/>
      <c r="AU54" s="12"/>
    </row>
    <row r="55" spans="1:47">
      <c r="A55" s="40" t="str">
        <f>time!G3</f>
        <v>Suiça</v>
      </c>
      <c r="B55" s="41">
        <f>IF(Copa=FIFA,SUM(D55*3)+E55,0)</f>
        <v>4</v>
      </c>
      <c r="C55" s="42">
        <f>COUNT(Tabela!G54,Tabela!I57,Tabela!I59)</f>
        <v>3</v>
      </c>
      <c r="D55" s="42">
        <f>SUM(IF(Tabela!$G$54&gt;Tabela!$I$54,COUNT(Tabela!$G$54)),IF(Tabela!$I$57&gt;Tabela!$G$57,COUNT(Tabela!$I$57)),IF(Tabela!$I$59&gt;Tabela!$G$59,COUNT(Tabela!$I$59)))</f>
        <v>1</v>
      </c>
      <c r="E55" s="42">
        <f>SUM(IF(Tabela!$G$54=Tabela!$I$54,COUNT(Tabela!$G$54)),IF(Tabela!$I$57=Tabela!$G$57,COUNT(Tabela!$I$57)),IF(Tabela!$I$59=Tabela!$G$59,COUNT(Tabela!$I$59)))</f>
        <v>1</v>
      </c>
      <c r="F55" s="42">
        <f>SUM(IF(Tabela!$G$54&lt;Tabela!$I$54,COUNT(Tabela!$G$54)),IF(Tabela!$I$57&lt;Tabela!$G$57,COUNT(Tabela!$I$57)),IF(Tabela!$I$59&lt;Tabela!$G$59,COUNT(Tabela!$I$59)))</f>
        <v>1</v>
      </c>
      <c r="G55" s="42">
        <f>SUM(Tabela!G54+Tabela!I57+Tabela!I59)</f>
        <v>4</v>
      </c>
      <c r="H55" s="42">
        <f>SUM(Tabela!I54+Tabela!G57+Tabela!G59)</f>
        <v>5</v>
      </c>
      <c r="I55" s="42">
        <f>IF(BR20I4=Tabela!C2,SUM(G55-H55),"X")</f>
        <v>-1</v>
      </c>
      <c r="J55" s="13"/>
      <c r="K55" s="11" t="str">
        <f>IF(B55&gt;=B56,A55,A56)</f>
        <v>Suiça</v>
      </c>
      <c r="L55" s="11">
        <f>VLOOKUP(K55,$A$53:$I$56,2,FALSE)</f>
        <v>4</v>
      </c>
      <c r="M55" s="11"/>
      <c r="N55" s="11" t="str">
        <f>IF(L55&lt;=L53,K55,K53)</f>
        <v>Suiça</v>
      </c>
      <c r="O55" s="11">
        <f>VLOOKUP(N55,$A$53:$I$56,2,FALSE)</f>
        <v>4</v>
      </c>
      <c r="P55" s="11"/>
      <c r="Q55" s="11" t="str">
        <f>IF(O55&lt;=O54,N55,N54)</f>
        <v>Camarões</v>
      </c>
      <c r="R55" s="11">
        <f>VLOOKUP(Q55,$A$53:$I$56,2,FALSE)</f>
        <v>3</v>
      </c>
      <c r="S55" s="11">
        <f>VLOOKUP(Q55,$A$53:$I$56,9,FALSE)</f>
        <v>-3</v>
      </c>
      <c r="T55" s="11"/>
      <c r="U55" s="11" t="str">
        <f>IF(AND(R55=R56,S56&gt;S55),Q56,Q55)</f>
        <v>Camarões</v>
      </c>
      <c r="V55" s="11">
        <f>VLOOKUP(U55,$A$53:$I$56,2,FALSE)</f>
        <v>3</v>
      </c>
      <c r="W55" s="11">
        <f>VLOOKUP(U55,$A$53:$I$56,9,FALSE)</f>
        <v>-3</v>
      </c>
      <c r="X55" s="11" t="str">
        <f>IF(AND(V53=V55,W55&gt;W53),U53,U55)</f>
        <v>Camarões</v>
      </c>
      <c r="Y55" s="11">
        <f>VLOOKUP(X55,$A$53:$I$56,2,FALSE)</f>
        <v>3</v>
      </c>
      <c r="Z55" s="11">
        <f>VLOOKUP(X55,$A$53:$I$56,9,FALSE)</f>
        <v>-3</v>
      </c>
      <c r="AA55" s="11"/>
      <c r="AB55" s="11" t="str">
        <f>IF(AND(Y55=Y54,Z55&gt;Z54),X54,X55)</f>
        <v>Camarões</v>
      </c>
      <c r="AC55" s="11">
        <f>VLOOKUP(AB55,$A$53:$I$56,2,FALSE)</f>
        <v>3</v>
      </c>
      <c r="AD55" s="11">
        <f>VLOOKUP(AB55,$A$53:$I$56,9,FALSE)</f>
        <v>-3</v>
      </c>
      <c r="AE55" s="11">
        <f>VLOOKUP(AB55,$A$53:$I$56,7,FALSE)</f>
        <v>2</v>
      </c>
      <c r="AF55" s="11" t="str">
        <f>IF(AND(AC55=AC56,AD55=AD56,AE56&gt;AE55),AB56,AB55)</f>
        <v>Camarões</v>
      </c>
      <c r="AG55" s="11">
        <f>VLOOKUP(AF55,$A$53:$I$56,2,FALSE)</f>
        <v>3</v>
      </c>
      <c r="AH55" s="11">
        <f>VLOOKUP(AF55,$A$53:$I$56,9,FALSE)</f>
        <v>-3</v>
      </c>
      <c r="AI55" s="11">
        <f>VLOOKUP(AF55,$A$53:$I$56,7,FALSE)</f>
        <v>2</v>
      </c>
      <c r="AJ55" s="11" t="str">
        <f>IF(AND(AG55=AG53,AH55=AH53,AI55&gt;AI53),AF53,AF55)</f>
        <v>Camarões</v>
      </c>
      <c r="AK55" s="11">
        <f>VLOOKUP(AJ55,$A$53:$I$56,2,FALSE)</f>
        <v>3</v>
      </c>
      <c r="AL55" s="11">
        <f>VLOOKUP(AJ55,$A$53:$I$56,9,FALSE)</f>
        <v>-3</v>
      </c>
      <c r="AM55" s="11">
        <f>VLOOKUP(AJ55,$A$53:$I$56,7,FALSE)</f>
        <v>2</v>
      </c>
      <c r="AN55" s="11" t="str">
        <f>IF(AND(AK55=AK54,AL55=AL54,AM55&gt;AM54),AJ54,AJ55)</f>
        <v>Camarões</v>
      </c>
      <c r="AO55" s="213">
        <f>VLOOKUP(AN55,$A$53:$I$56,2,FALSE)</f>
        <v>3</v>
      </c>
      <c r="AP55" s="213">
        <f>IF(Tabela!N2="www.guiadecompra.com",VLOOKUP(AN55,$A$53:$I$56,9,FALSE),0)</f>
        <v>-3</v>
      </c>
      <c r="AQ55" s="213">
        <f>VLOOKUP(AN55,$A$53:$I$56,7,FALSE)</f>
        <v>2</v>
      </c>
      <c r="AR55" s="12"/>
      <c r="AS55" s="12"/>
      <c r="AT55" s="12"/>
      <c r="AU55" s="12"/>
    </row>
    <row r="56" spans="1:47">
      <c r="A56" s="40" t="str">
        <f>time!G4</f>
        <v>Camarões</v>
      </c>
      <c r="B56" s="41">
        <f>IF(Copa=FIFA,SUM(D56*3)+E56,0)</f>
        <v>3</v>
      </c>
      <c r="C56" s="42">
        <f>COUNT(Tabela!I54,Tabela!G56,Tabela!G58)</f>
        <v>3</v>
      </c>
      <c r="D56" s="42">
        <f>SUM(IF(Tabela!$I$54&gt;Tabela!$G$54,COUNT(Tabela!$I$54)),IF(Tabela!$G$56&gt;Tabela!$I$56,COUNT(Tabela!$G$56)),IF(Tabela!$G$58&gt;Tabela!$I$58,COUNT(Tabela!$G$58)))</f>
        <v>1</v>
      </c>
      <c r="E56" s="42">
        <f>SUM(IF(Tabela!$I$54=Tabela!$G$54,COUNT(Tabela!$I$54)),IF(Tabela!$G$56=Tabela!$I$56,COUNT(Tabela!$G$56)),IF(Tabela!$G$58=Tabela!$I$58,COUNT(Tabela!$G$58)))</f>
        <v>0</v>
      </c>
      <c r="F56" s="42">
        <f>SUM(IF(Tabela!$I$54&lt;Tabela!$G$54,COUNT(Tabela!$I$54)),IF(Tabela!$G$56&lt;Tabela!$I$56,COUNT(Tabela!$G$56)),IF(Tabela!$G$58&lt;Tabela!$I$58,COUNT(Tabela!$G$58)))</f>
        <v>2</v>
      </c>
      <c r="G56" s="42">
        <f>SUM(Tabela!I54+Tabela!G56+Tabela!G58)</f>
        <v>2</v>
      </c>
      <c r="H56" s="42">
        <f>SUM(Tabela!G54+Tabela!I56+Tabela!I58)</f>
        <v>5</v>
      </c>
      <c r="I56" s="42">
        <f>IF(BR20I4=Tabela!C2,SUM(G56-H56),"X")</f>
        <v>-3</v>
      </c>
      <c r="J56" s="13"/>
      <c r="K56" s="11" t="str">
        <f>IF(B56&lt;=B55,A56,A55)</f>
        <v>Camarões</v>
      </c>
      <c r="L56" s="11">
        <f>VLOOKUP(K56,$A$53:$I$56,2,FALSE)</f>
        <v>3</v>
      </c>
      <c r="M56" s="11"/>
      <c r="N56" s="11" t="str">
        <f>IF(L56&lt;=L54,K56,K54)</f>
        <v>Sérvia</v>
      </c>
      <c r="O56" s="11">
        <f>VLOOKUP(N56,$A$53:$I$56,2,FALSE)</f>
        <v>1</v>
      </c>
      <c r="P56" s="11"/>
      <c r="Q56" s="11" t="str">
        <f>IF(O56&lt;=O53,N56,N53)</f>
        <v>Sérvia</v>
      </c>
      <c r="R56" s="11">
        <f>VLOOKUP(Q56,$A$53:$I$56,2,FALSE)</f>
        <v>1</v>
      </c>
      <c r="S56" s="11">
        <f>VLOOKUP(Q56,$A$53:$I$56,9,FALSE)</f>
        <v>-3</v>
      </c>
      <c r="T56" s="11"/>
      <c r="U56" s="11" t="str">
        <f>IF(AND(R55=R56,S56&gt;S55),Q55,Q56)</f>
        <v>Sérvia</v>
      </c>
      <c r="V56" s="11">
        <f>VLOOKUP(U56,$A$53:$I$56,2,FALSE)</f>
        <v>1</v>
      </c>
      <c r="W56" s="11">
        <f>VLOOKUP(U56,$A$53:$I$56,9,FALSE)</f>
        <v>-3</v>
      </c>
      <c r="X56" s="11" t="str">
        <f>IF(AND(V54=V56,W56&gt;W54),U54,U56)</f>
        <v>Sérvia</v>
      </c>
      <c r="Y56" s="11">
        <f>VLOOKUP(X56,$A$53:$I$56,2,FALSE)</f>
        <v>1</v>
      </c>
      <c r="Z56" s="11">
        <f>VLOOKUP(X56,$A$53:$I$56,9,FALSE)</f>
        <v>-3</v>
      </c>
      <c r="AA56" s="11"/>
      <c r="AB56" s="11" t="str">
        <f>IF(AND(Y56=Y53,Z56&gt;Z53),X53,X56)</f>
        <v>Sérvia</v>
      </c>
      <c r="AC56" s="11">
        <f>VLOOKUP(AB56,$A$53:$I$56,2,FALSE)</f>
        <v>1</v>
      </c>
      <c r="AD56" s="11">
        <f>VLOOKUP(AB56,$A$53:$I$56,9,FALSE)</f>
        <v>-3</v>
      </c>
      <c r="AE56" s="11">
        <f>VLOOKUP(AB56,$A$53:$I$56,7,FALSE)</f>
        <v>3</v>
      </c>
      <c r="AF56" s="11" t="str">
        <f>IF(AND(AC56=AC55,AD56=AD55,AE56&gt;AE55),X55,X56)</f>
        <v>Sérvia</v>
      </c>
      <c r="AG56" s="11">
        <f>VLOOKUP(AF56,$A$53:$I$56,2,FALSE)</f>
        <v>1</v>
      </c>
      <c r="AH56" s="11">
        <f>VLOOKUP(AF56,$A$53:$I$56,9,FALSE)</f>
        <v>-3</v>
      </c>
      <c r="AI56" s="11">
        <f>VLOOKUP(AF56,$A$53:$I$56,7,FALSE)</f>
        <v>3</v>
      </c>
      <c r="AJ56" s="11" t="str">
        <f>IF(AND(AG54=AG56,AH54=AH56,AI56&gt;AI54),AF54,AF56)</f>
        <v>Sérvia</v>
      </c>
      <c r="AK56" s="11">
        <f>VLOOKUP(AJ56,$A$53:$I$56,2,FALSE)</f>
        <v>1</v>
      </c>
      <c r="AL56" s="11">
        <f>VLOOKUP(AJ56,$A$53:$I$56,9,FALSE)</f>
        <v>-3</v>
      </c>
      <c r="AM56" s="11">
        <f>VLOOKUP(AJ56,$A$53:$I$56,7,FALSE)</f>
        <v>3</v>
      </c>
      <c r="AN56" s="11" t="str">
        <f>IF(AND(AK56=AK53,AL56=AL53,AM56&gt;AM53),AJ53,AJ56)</f>
        <v>Sérvia</v>
      </c>
      <c r="AO56" s="213">
        <f>VLOOKUP(AN56,$A$53:$I$56,2,FALSE)</f>
        <v>1</v>
      </c>
      <c r="AP56" s="213">
        <f>IF(Tabela!N2="www.guiadecompra.com",VLOOKUP(AN56,$A$53:$I$56,9,FALSE),0)</f>
        <v>-3</v>
      </c>
      <c r="AQ56" s="213">
        <f>VLOOKUP(AN56,$A$53:$I$56,7,FALSE)</f>
        <v>3</v>
      </c>
      <c r="AR56" s="12"/>
      <c r="AS56" s="12"/>
      <c r="AT56" s="12"/>
      <c r="AU56" s="12"/>
    </row>
    <row r="57" spans="1:47">
      <c r="A57" s="5"/>
      <c r="B57" s="7"/>
      <c r="C57" s="7"/>
      <c r="D57" s="7"/>
      <c r="E57" s="7"/>
      <c r="F57" s="7"/>
      <c r="G57" s="7"/>
      <c r="H57" s="7"/>
      <c r="I57" s="7"/>
      <c r="J57" s="7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213"/>
      <c r="AP57" s="213"/>
      <c r="AQ57" s="213"/>
      <c r="AR57" s="12"/>
      <c r="AS57" s="12"/>
      <c r="AT57" s="12"/>
      <c r="AU57" s="12"/>
    </row>
    <row r="58" spans="1:47">
      <c r="A58" s="5"/>
      <c r="B58" s="7"/>
      <c r="C58" s="7"/>
      <c r="D58" s="7"/>
      <c r="E58" s="7"/>
      <c r="F58" s="7"/>
      <c r="G58" s="7"/>
      <c r="H58" s="7"/>
      <c r="I58" s="7"/>
      <c r="J58" s="7"/>
      <c r="K58" s="111" t="s">
        <v>0</v>
      </c>
      <c r="L58" s="11"/>
      <c r="M58" s="11"/>
      <c r="N58" s="1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213"/>
      <c r="AP58" s="213"/>
      <c r="AQ58" s="213"/>
      <c r="AR58" s="12"/>
      <c r="AS58" s="12"/>
      <c r="AT58" s="12"/>
      <c r="AU58" s="12"/>
    </row>
    <row r="59" spans="1:47">
      <c r="A59" s="5"/>
      <c r="B59" s="416" t="s">
        <v>42</v>
      </c>
      <c r="C59" s="416"/>
      <c r="D59" s="416"/>
      <c r="E59" s="416"/>
      <c r="F59" s="416"/>
      <c r="G59" s="416"/>
      <c r="H59" s="416"/>
      <c r="I59" s="416"/>
      <c r="J59" s="7"/>
      <c r="K59" s="11" t="s">
        <v>31</v>
      </c>
      <c r="L59" s="11"/>
      <c r="M59" s="11"/>
      <c r="N59" s="11" t="s">
        <v>32</v>
      </c>
      <c r="O59" s="11"/>
      <c r="P59" s="11"/>
      <c r="Q59" s="11" t="s">
        <v>33</v>
      </c>
      <c r="R59" s="11"/>
      <c r="S59" s="11"/>
      <c r="T59" s="11"/>
      <c r="U59" s="11" t="s">
        <v>33</v>
      </c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213"/>
      <c r="AP59" s="213"/>
      <c r="AQ59" s="213"/>
      <c r="AR59" s="12"/>
      <c r="AS59" s="12"/>
      <c r="AT59" s="12"/>
      <c r="AU59" s="12"/>
    </row>
    <row r="60" spans="1:47">
      <c r="A60" s="37" t="s">
        <v>34</v>
      </c>
      <c r="B60" s="38" t="s">
        <v>4</v>
      </c>
      <c r="C60" s="39" t="s">
        <v>5</v>
      </c>
      <c r="D60" s="39" t="s">
        <v>6</v>
      </c>
      <c r="E60" s="39" t="s">
        <v>7</v>
      </c>
      <c r="F60" s="39" t="s">
        <v>8</v>
      </c>
      <c r="G60" s="39" t="s">
        <v>9</v>
      </c>
      <c r="H60" s="39" t="s">
        <v>10</v>
      </c>
      <c r="I60" s="39" t="s">
        <v>11</v>
      </c>
      <c r="J60" s="14"/>
      <c r="K60" s="11"/>
      <c r="L60" s="11" t="s">
        <v>4</v>
      </c>
      <c r="M60" s="11"/>
      <c r="N60" s="11"/>
      <c r="O60" s="11" t="s">
        <v>35</v>
      </c>
      <c r="P60" s="11"/>
      <c r="Q60" s="11"/>
      <c r="R60" s="11" t="s">
        <v>4</v>
      </c>
      <c r="S60" s="11" t="s">
        <v>11</v>
      </c>
      <c r="T60" s="11"/>
      <c r="U60" s="11"/>
      <c r="V60" s="11" t="s">
        <v>4</v>
      </c>
      <c r="W60" s="11" t="s">
        <v>11</v>
      </c>
      <c r="X60" s="11"/>
      <c r="Y60" s="11" t="s">
        <v>4</v>
      </c>
      <c r="Z60" s="11" t="s">
        <v>11</v>
      </c>
      <c r="AA60" s="11"/>
      <c r="AB60" s="11"/>
      <c r="AC60" s="11" t="s">
        <v>4</v>
      </c>
      <c r="AD60" s="11" t="s">
        <v>11</v>
      </c>
      <c r="AE60" s="11" t="s">
        <v>9</v>
      </c>
      <c r="AF60" s="11"/>
      <c r="AG60" s="11" t="s">
        <v>4</v>
      </c>
      <c r="AH60" s="11" t="s">
        <v>11</v>
      </c>
      <c r="AI60" s="11" t="s">
        <v>9</v>
      </c>
      <c r="AJ60" s="11"/>
      <c r="AK60" s="11" t="s">
        <v>4</v>
      </c>
      <c r="AL60" s="11" t="s">
        <v>11</v>
      </c>
      <c r="AM60" s="11" t="s">
        <v>9</v>
      </c>
      <c r="AN60" s="11"/>
      <c r="AO60" s="213" t="s">
        <v>4</v>
      </c>
      <c r="AP60" s="213" t="s">
        <v>11</v>
      </c>
      <c r="AQ60" s="213" t="s">
        <v>9</v>
      </c>
      <c r="AR60" s="12"/>
      <c r="AS60" s="12"/>
      <c r="AT60" s="12"/>
      <c r="AU60" s="12"/>
    </row>
    <row r="61" spans="1:47">
      <c r="A61" s="40" t="str">
        <f>time!H1</f>
        <v>Portugal</v>
      </c>
      <c r="B61" s="41">
        <f>IF(Copa=FIFA,SUM(D61*3)+E61,0)</f>
        <v>9</v>
      </c>
      <c r="C61" s="42">
        <f>COUNT(Tabela!G63,Tabela!G65,Tabela!I66)</f>
        <v>3</v>
      </c>
      <c r="D61" s="42">
        <f>SUM(IF(Tabela!$G$63&gt;Tabela!$I$63,COUNT(Tabela!$G$63)),IF(Tabela!$G$65&gt;Tabela!$I$65,COUNT(Tabela!$G$65)),IF(Tabela!$I$66&gt;Tabela!$G$66,COUNT(Tabela!$I$66)))</f>
        <v>3</v>
      </c>
      <c r="E61" s="42">
        <f>SUM(IF(Tabela!$G$63=Tabela!$I$63,COUNT(Tabela!$G$63)),IF(Tabela!$G$65=Tabela!$I$65,COUNT(Tabela!$G$65)),IF(Tabela!$I$66=Tabela!$G$66,COUNT(Tabela!$I$66)))</f>
        <v>0</v>
      </c>
      <c r="F61" s="42">
        <f>SUM(IF(Tabela!$G$63&lt;Tabela!$I$63,COUNT(Tabela!$G$63)),IF(Tabela!$G$65&lt;Tabela!$I$65,COUNT(Tabela!$G$65)),IF(Tabela!$I$66&lt;Tabela!$G$66,COUNT(Tabela!$I$66)))</f>
        <v>0</v>
      </c>
      <c r="G61" s="42">
        <f>SUM(Tabela!G63+Tabela!G65+Tabela!I66)</f>
        <v>8</v>
      </c>
      <c r="H61" s="42">
        <f>SUM(Tabela!I63+Tabela!I65+Tabela!G66)</f>
        <v>0</v>
      </c>
      <c r="I61" s="42">
        <f>IF(BR20I4=Tabela!C2,SUM(G61-H61),"X")</f>
        <v>8</v>
      </c>
      <c r="J61" s="13"/>
      <c r="K61" s="11" t="str">
        <f>IF(B61&gt;=B62,A61,A62)</f>
        <v>Portugal</v>
      </c>
      <c r="L61" s="11">
        <f>VLOOKUP(K61,$A$61:$I$64,2,FALSE)</f>
        <v>9</v>
      </c>
      <c r="M61" s="11"/>
      <c r="N61" s="11" t="str">
        <f>IF(L61&gt;=L63,K61,K63)</f>
        <v>Portugal</v>
      </c>
      <c r="O61" s="11">
        <f>VLOOKUP(N61,$A$61:$I$64,2,FALSE)</f>
        <v>9</v>
      </c>
      <c r="P61" s="11"/>
      <c r="Q61" s="11" t="str">
        <f>IF(O61&gt;=O64,N61,N64)</f>
        <v>Portugal</v>
      </c>
      <c r="R61" s="11">
        <f>VLOOKUP(Q61,$A$61:$I$64,2,FALSE)</f>
        <v>9</v>
      </c>
      <c r="S61" s="11">
        <f>VLOOKUP(Q61,$A$61:$I$64,9,FALSE)</f>
        <v>8</v>
      </c>
      <c r="T61" s="11"/>
      <c r="U61" s="11" t="str">
        <f>IF(AND(R61=R62,S62&gt;S61),Q62,Q61)</f>
        <v>Portugal</v>
      </c>
      <c r="V61" s="11">
        <f>VLOOKUP(U61,$A$61:$I$64,2,FALSE)</f>
        <v>9</v>
      </c>
      <c r="W61" s="11">
        <f>VLOOKUP(U61,$A$61:$I$64,9,FALSE)</f>
        <v>8</v>
      </c>
      <c r="X61" s="11" t="str">
        <f>IF(AND(V61=V63,W63&gt;W61),U63,U61)</f>
        <v>Portugal</v>
      </c>
      <c r="Y61" s="11">
        <f>VLOOKUP(X61,$A$61:$I$64,2,FALSE)</f>
        <v>9</v>
      </c>
      <c r="Z61" s="11">
        <f>VLOOKUP(X61,$A$61:$I$64,9,FALSE)</f>
        <v>8</v>
      </c>
      <c r="AA61" s="11"/>
      <c r="AB61" s="11" t="str">
        <f>IF(AND(Y61=Y64,Z64&gt;Z61),X64,X61)</f>
        <v>Portugal</v>
      </c>
      <c r="AC61" s="11">
        <f>VLOOKUP(AB61,$A$61:$I$64,2,FALSE)</f>
        <v>9</v>
      </c>
      <c r="AD61" s="11">
        <f>VLOOKUP(AB61,$A$61:$I$64,9,FALSE)</f>
        <v>8</v>
      </c>
      <c r="AE61" s="11">
        <f>VLOOKUP(AB61,$A$61:$I$64,7,FALSE)</f>
        <v>8</v>
      </c>
      <c r="AF61" s="11" t="str">
        <f>IF(AND(AC61=AC62,AD61=AD62,AE62&gt;AE61),AB62,AB61)</f>
        <v>Portugal</v>
      </c>
      <c r="AG61" s="11">
        <f>VLOOKUP(AF61,$A$61:$I$64,2,FALSE)</f>
        <v>9</v>
      </c>
      <c r="AH61" s="11">
        <f>VLOOKUP(AF61,$A$61:$I$64,9,FALSE)</f>
        <v>8</v>
      </c>
      <c r="AI61" s="11">
        <f>VLOOKUP(AF61,$A$61:$I$64,7,FALSE)</f>
        <v>8</v>
      </c>
      <c r="AJ61" s="11" t="str">
        <f>IF(AND(AG61=AG63,AH61=AH63,AI63&gt;AI61),AF63,AF61)</f>
        <v>Portugal</v>
      </c>
      <c r="AK61" s="11">
        <f>VLOOKUP(AJ61,$A$61:$I$64,2,FALSE)</f>
        <v>9</v>
      </c>
      <c r="AL61" s="11">
        <f>VLOOKUP(AJ61,$A$61:$I$64,9,FALSE)</f>
        <v>8</v>
      </c>
      <c r="AM61" s="11">
        <f>VLOOKUP(AJ61,$A$61:$I$64,7,FALSE)</f>
        <v>8</v>
      </c>
      <c r="AN61" s="11" t="str">
        <f>IF(AND(AK61=AK64,AL61=AL64,AM64&gt;AM61),AJ64,AJ61)</f>
        <v>Portugal</v>
      </c>
      <c r="AO61" s="213">
        <f>VLOOKUP(AN61,$A$61:$I$64,2,FALSE)</f>
        <v>9</v>
      </c>
      <c r="AP61" s="213">
        <f>IF(Tabela!N2="www.guiadecompra.com",VLOOKUP(AN61,$A$61:$I$64,9,FALSE),0)</f>
        <v>8</v>
      </c>
      <c r="AQ61" s="213">
        <f>VLOOKUP(AN61,$A$61:$I$64,7,FALSE)</f>
        <v>8</v>
      </c>
      <c r="AR61" s="12"/>
      <c r="AS61" s="12"/>
      <c r="AT61" s="12"/>
      <c r="AU61" s="12"/>
    </row>
    <row r="62" spans="1:47">
      <c r="A62" s="40" t="str">
        <f>time!H2</f>
        <v>Gana</v>
      </c>
      <c r="B62" s="41">
        <f>IF(Copa=FIFA,SUM(D62*3)+E62,0)</f>
        <v>3</v>
      </c>
      <c r="C62" s="42">
        <f>COUNT(Tabela!I63,Tabela!I64,Tabela!G67)</f>
        <v>3</v>
      </c>
      <c r="D62" s="42">
        <f>SUM(IF(Tabela!$I$63&gt;Tabela!$G$63,COUNT(Tabela!$I$63)),IF(Tabela!$I$64&gt;Tabela!$G$64,COUNT(Tabela!$I$64)),IF(Tabela!$G$67&gt;Tabela!$I$67,COUNT(Tabela!$G$67)))</f>
        <v>1</v>
      </c>
      <c r="E62" s="42">
        <f>SUM(IF(Tabela!$I$63=Tabela!$G$63,COUNT(Tabela!$I$63)),IF(Tabela!$I$64=Tabela!$G$64,COUNT(Tabela!$I$64)),IF(Tabela!$G$67=Tabela!$I$67,COUNT(Tabela!$G$67)))</f>
        <v>0</v>
      </c>
      <c r="F62" s="42">
        <f>SUM(IF(Tabela!$I$63&lt;Tabela!$G$63,COUNT(Tabela!$I$63)),IF(Tabela!$I$64&lt;Tabela!$G$64,COUNT(Tabela!$I$64)),IF(Tabela!$G$67&lt;Tabela!$I$67,COUNT(Tabela!$G$67)))</f>
        <v>2</v>
      </c>
      <c r="G62" s="42">
        <f>SUM(Tabela!I63+Tabela!I64+Tabela!G67)</f>
        <v>3</v>
      </c>
      <c r="H62" s="42">
        <f>SUM(Tabela!G63+Tabela!G64+Tabela!I67)</f>
        <v>4</v>
      </c>
      <c r="I62" s="42">
        <f>IF(BR20I4=Tabela!C2,SUM(G62-H62),"X")</f>
        <v>-1</v>
      </c>
      <c r="J62" s="13"/>
      <c r="K62" s="11" t="str">
        <f>IF(B62&lt;=B61,A62,A61)</f>
        <v>Gana</v>
      </c>
      <c r="L62" s="11">
        <f>VLOOKUP(K62,$A$61:$I$64,2,FALSE)</f>
        <v>3</v>
      </c>
      <c r="M62" s="11"/>
      <c r="N62" s="11" t="str">
        <f>IF(L62&gt;=L64,K62,K64)</f>
        <v>Gana</v>
      </c>
      <c r="O62" s="11">
        <f>VLOOKUP(N62,$A$61:$I$64,2,FALSE)</f>
        <v>3</v>
      </c>
      <c r="P62" s="11"/>
      <c r="Q62" s="11" t="str">
        <f>IF(O62&gt;=O63,N62,N63)</f>
        <v>Uruguai</v>
      </c>
      <c r="R62" s="11">
        <f>VLOOKUP(Q62,$A$61:$I$64,2,FALSE)</f>
        <v>6</v>
      </c>
      <c r="S62" s="11">
        <f>VLOOKUP(Q62,$A$61:$I$64,9,FALSE)</f>
        <v>-1</v>
      </c>
      <c r="T62" s="11"/>
      <c r="U62" s="11" t="str">
        <f>IF(AND(R61=R62,S62&gt;S61),Q61,Q62)</f>
        <v>Uruguai</v>
      </c>
      <c r="V62" s="11">
        <f>VLOOKUP(U62,$A$61:$I$64,2,FALSE)</f>
        <v>6</v>
      </c>
      <c r="W62" s="11">
        <f>VLOOKUP(U62,$A$61:$I$64,9,FALSE)</f>
        <v>-1</v>
      </c>
      <c r="X62" s="11" t="str">
        <f>IF(AND(V62=V64,W64&gt;W62),U64,U62)</f>
        <v>Uruguai</v>
      </c>
      <c r="Y62" s="11">
        <f>VLOOKUP(X62,$A$61:$I$64,2,FALSE)</f>
        <v>6</v>
      </c>
      <c r="Z62" s="11">
        <f>VLOOKUP(X62,$A$61:$I$64,9,FALSE)</f>
        <v>-1</v>
      </c>
      <c r="AA62" s="11"/>
      <c r="AB62" s="11" t="str">
        <f>IF(AND(Y62=Y63,Z63&gt;Z62),X63,X62)</f>
        <v>Uruguai</v>
      </c>
      <c r="AC62" s="11">
        <f>VLOOKUP(AB62,$A$61:$I$64,2,FALSE)</f>
        <v>6</v>
      </c>
      <c r="AD62" s="11">
        <f>VLOOKUP(AB62,$A$61:$I$64,9,FALSE)</f>
        <v>-1</v>
      </c>
      <c r="AE62" s="11">
        <f>VLOOKUP(AB62,$A$61:$I$64,7,FALSE)</f>
        <v>3</v>
      </c>
      <c r="AF62" s="11" t="str">
        <f>IF(AND(AC62=AC61,AD62=AD61,AE62&gt;AE61),AB61,AB62)</f>
        <v>Uruguai</v>
      </c>
      <c r="AG62" s="11">
        <f>VLOOKUP(AF62,$A$61:$I$64,2,FALSE)</f>
        <v>6</v>
      </c>
      <c r="AH62" s="11">
        <f>VLOOKUP(AF62,$A$61:$I$64,9,FALSE)</f>
        <v>-1</v>
      </c>
      <c r="AI62" s="11">
        <f>VLOOKUP(AF62,$A$61:$I$64,7,FALSE)</f>
        <v>3</v>
      </c>
      <c r="AJ62" s="11" t="str">
        <f>IF(AND(AG62=AG64,AH62=AH64,AI64&gt;AI62),AF64,AF62)</f>
        <v>Uruguai</v>
      </c>
      <c r="AK62" s="11">
        <f>VLOOKUP(AJ62,$A$61:$I$64,2,FALSE)</f>
        <v>6</v>
      </c>
      <c r="AL62" s="11">
        <f>VLOOKUP(AJ62,$A$61:$I$64,9,FALSE)</f>
        <v>-1</v>
      </c>
      <c r="AM62" s="11">
        <f>VLOOKUP(AJ62,$A$61:$I$64,7,FALSE)</f>
        <v>3</v>
      </c>
      <c r="AN62" s="11" t="str">
        <f>IF(AND(AK62=AK63,AL62=AL63,AM63&gt;AM62),AJ63,AJ62)</f>
        <v>Uruguai</v>
      </c>
      <c r="AO62" s="213">
        <f>VLOOKUP(AN62,$A$61:$I$64,2,FALSE)</f>
        <v>6</v>
      </c>
      <c r="AP62" s="213">
        <f>IF(Tabela!N2="www.guiadecompra.com",VLOOKUP(AN62,$A$61:$I$64,9,FALSE),0)</f>
        <v>-1</v>
      </c>
      <c r="AQ62" s="213">
        <f>VLOOKUP(AN62,$A$61:$I$64,7,FALSE)</f>
        <v>3</v>
      </c>
      <c r="AR62" s="12"/>
      <c r="AS62" s="12"/>
      <c r="AT62" s="12"/>
      <c r="AU62" s="12"/>
    </row>
    <row r="63" spans="1:47">
      <c r="A63" s="40" t="str">
        <f>time!H3</f>
        <v>Uruguai</v>
      </c>
      <c r="B63" s="41">
        <f>IF(Copa=FIFA,SUM(D63*3)+E63,0)</f>
        <v>6</v>
      </c>
      <c r="C63" s="42">
        <f>COUNT(Tabela!G62,Tabela!I65,Tabela!I67)</f>
        <v>3</v>
      </c>
      <c r="D63" s="42">
        <f>SUM(IF(Tabela!$G$62&gt;Tabela!$I$62,COUNT(Tabela!$G$62)),IF(Tabela!$I$65&gt;Tabela!$G$65,COUNT(Tabela!$I$65)),IF(Tabela!$I$67&gt;Tabela!$G$67,COUNT(Tabela!$I$67)))</f>
        <v>2</v>
      </c>
      <c r="E63" s="42">
        <f>SUM(IF(Tabela!$G$62=Tabela!$I$62,COUNT(Tabela!$G$62)),IF(Tabela!$I$65=Tabela!$G$65,COUNT(Tabela!$I$65)),IF(Tabela!$I$67=Tabela!$G$67,COUNT(Tabela!$I$67)))</f>
        <v>0</v>
      </c>
      <c r="F63" s="42">
        <f>SUM(IF(Tabela!$G$62&lt;Tabela!$I$62,COUNT(Tabela!$G$62)),IF(Tabela!$I$65&lt;Tabela!$G$65,COUNT(Tabela!$I$65)),IF(Tabela!$I$67&lt;Tabela!$G$67,COUNT(Tabela!$I$67)))</f>
        <v>1</v>
      </c>
      <c r="G63" s="42">
        <f>SUM(Tabela!G62+Tabela!I65+Tabela!I67)</f>
        <v>3</v>
      </c>
      <c r="H63" s="42">
        <f>SUM(Tabela!I62+Tabela!G65+Tabela!G67)</f>
        <v>4</v>
      </c>
      <c r="I63" s="42">
        <f>IF(BR20I4=Tabela!C2,SUM(G63-H63),"X")</f>
        <v>-1</v>
      </c>
      <c r="J63" s="13"/>
      <c r="K63" s="11" t="str">
        <f>IF(B63&gt;=B64,A63,A64)</f>
        <v>Uruguai</v>
      </c>
      <c r="L63" s="11">
        <f>VLOOKUP(K63,$A$61:$I$64,2,FALSE)</f>
        <v>6</v>
      </c>
      <c r="M63" s="11"/>
      <c r="N63" s="11" t="str">
        <f>IF(L63&lt;=L61,K63,K61)</f>
        <v>Uruguai</v>
      </c>
      <c r="O63" s="11">
        <f>VLOOKUP(N63,$A$61:$I$64,2,FALSE)</f>
        <v>6</v>
      </c>
      <c r="P63" s="11"/>
      <c r="Q63" s="11" t="str">
        <f>IF(O63&lt;=O62,N63,N62)</f>
        <v>Gana</v>
      </c>
      <c r="R63" s="11">
        <f>VLOOKUP(Q63,$A$61:$I$64,2,FALSE)</f>
        <v>3</v>
      </c>
      <c r="S63" s="11">
        <f>VLOOKUP(Q63,$A$61:$I$64,9,FALSE)</f>
        <v>-1</v>
      </c>
      <c r="T63" s="11"/>
      <c r="U63" s="11" t="str">
        <f>IF(AND(R63=R64,S64&gt;S63),Q64,Q63)</f>
        <v>Gana</v>
      </c>
      <c r="V63" s="11">
        <f>VLOOKUP(U63,$A$61:$I$64,2,FALSE)</f>
        <v>3</v>
      </c>
      <c r="W63" s="11">
        <f>VLOOKUP(U63,$A$61:$I$64,9,FALSE)</f>
        <v>-1</v>
      </c>
      <c r="X63" s="11" t="str">
        <f>IF(AND(V61=V63,W63&gt;W61),U61,U63)</f>
        <v>Gana</v>
      </c>
      <c r="Y63" s="11">
        <f>VLOOKUP(X63,$A$61:$I$64,2,FALSE)</f>
        <v>3</v>
      </c>
      <c r="Z63" s="11">
        <f>VLOOKUP(X63,$A$61:$I$64,9,FALSE)</f>
        <v>-1</v>
      </c>
      <c r="AA63" s="11"/>
      <c r="AB63" s="11" t="str">
        <f>IF(AND(Y63=Y62,Z63&gt;Z62),X62,X63)</f>
        <v>Gana</v>
      </c>
      <c r="AC63" s="11">
        <f>VLOOKUP(AB63,$A$61:$I$64,2,FALSE)</f>
        <v>3</v>
      </c>
      <c r="AD63" s="11">
        <f>VLOOKUP(AB63,$A$61:$I$64,9,FALSE)</f>
        <v>-1</v>
      </c>
      <c r="AE63" s="11">
        <f>VLOOKUP(AB63,$A$61:$I$64,7,FALSE)</f>
        <v>3</v>
      </c>
      <c r="AF63" s="11" t="str">
        <f>IF(AND(AC63=AC64,AD63=AD64,AE64&gt;AE63),AB64,AB63)</f>
        <v>Gana</v>
      </c>
      <c r="AG63" s="11">
        <f>VLOOKUP(AF63,$A$61:$I$64,2,FALSE)</f>
        <v>3</v>
      </c>
      <c r="AH63" s="11">
        <f>VLOOKUP(AF63,$A$61:$I$64,9,FALSE)</f>
        <v>-1</v>
      </c>
      <c r="AI63" s="11">
        <f>VLOOKUP(AF63,$A$61:$I$64,7,FALSE)</f>
        <v>3</v>
      </c>
      <c r="AJ63" s="11" t="str">
        <f>IF(AND(AG63=AG61,AH63=AH61,AI63&gt;AI61),AF61,AF63)</f>
        <v>Gana</v>
      </c>
      <c r="AK63" s="11">
        <f>VLOOKUP(AJ63,$A$61:$I$64,2,FALSE)</f>
        <v>3</v>
      </c>
      <c r="AL63" s="11">
        <f>VLOOKUP(AJ63,$A$61:$I$64,9,FALSE)</f>
        <v>-1</v>
      </c>
      <c r="AM63" s="11">
        <f>VLOOKUP(AJ63,$A$61:$I$64,7,FALSE)</f>
        <v>3</v>
      </c>
      <c r="AN63" s="11" t="str">
        <f>IF(AND(AK63=AK62,AL63=AL62,AM63&gt;AM62),AJ62,AJ63)</f>
        <v>Gana</v>
      </c>
      <c r="AO63" s="213">
        <f>VLOOKUP(AN63,$A$61:$I$64,2,FALSE)</f>
        <v>3</v>
      </c>
      <c r="AP63" s="213">
        <f>IF(Tabela!N2="www.guiadecompra.com",VLOOKUP(AN63,$A$61:$I$64,9,FALSE),0)</f>
        <v>-1</v>
      </c>
      <c r="AQ63" s="213">
        <f>VLOOKUP(AN63,$A$61:$I$64,7,FALSE)</f>
        <v>3</v>
      </c>
      <c r="AR63" s="12"/>
      <c r="AS63" s="12"/>
      <c r="AT63" s="12"/>
      <c r="AU63" s="12"/>
    </row>
    <row r="64" spans="1:47">
      <c r="A64" s="40" t="str">
        <f>time!H4</f>
        <v>Coreia do Sul</v>
      </c>
      <c r="B64" s="41">
        <f>IF(Copa=FIFA,SUM(D64*3)+E64,0)</f>
        <v>0</v>
      </c>
      <c r="C64" s="42">
        <f>COUNT(Tabela!I62,Tabela!G64,Tabela!G66)</f>
        <v>3</v>
      </c>
      <c r="D64" s="42">
        <f>SUM(IF(Tabela!$I$62&gt;Tabela!$G$62,COUNT(Tabela!$I$62)),IF(Tabela!$G$64&gt;Tabela!$I$64,COUNT(Tabela!$G$64)),IF(Tabela!$G$66&gt;Tabela!$I$66,COUNT(Tabela!$G$66)))</f>
        <v>0</v>
      </c>
      <c r="E64" s="42">
        <f>SUM(IF(Tabela!$I$62=Tabela!$G$62,COUNT(Tabela!$I$62)),IF(Tabela!$G$64=Tabela!$I$64,COUNT(Tabela!$G$64)),IF(Tabela!$G$66=Tabela!$I$66,COUNT(Tabela!$G$66)))</f>
        <v>0</v>
      </c>
      <c r="F64" s="42">
        <f>SUM(IF(Tabela!$I$62&lt;Tabela!$G$62,COUNT(Tabela!$I$62)),IF(Tabela!$G$64&lt;Tabela!$I$64,COUNT(Tabela!$G$64)),IF(Tabela!$G$66&lt;Tabela!$I$66,COUNT(Tabela!$G$66)))</f>
        <v>3</v>
      </c>
      <c r="G64" s="42">
        <f>SUM(Tabela!I62+Tabela!G64+Tabela!G66)</f>
        <v>3</v>
      </c>
      <c r="H64" s="42">
        <f>SUM(Tabela!G62+Tabela!I64+Tabela!I66)</f>
        <v>9</v>
      </c>
      <c r="I64" s="42">
        <f>IF(BR20I4=Tabela!C2,SUM(G64-H64),"X")</f>
        <v>-6</v>
      </c>
      <c r="J64" s="13"/>
      <c r="K64" s="11" t="str">
        <f>IF(B64&lt;=B63,A64,A63)</f>
        <v>Coreia do Sul</v>
      </c>
      <c r="L64" s="11">
        <f>VLOOKUP(K64,$A$61:$I$64,2,FALSE)</f>
        <v>0</v>
      </c>
      <c r="M64" s="11"/>
      <c r="N64" s="11" t="str">
        <f>IF(L64&lt;=L62,K64,K62)</f>
        <v>Coreia do Sul</v>
      </c>
      <c r="O64" s="11">
        <f>VLOOKUP(N64,$A$61:$I$64,2,FALSE)</f>
        <v>0</v>
      </c>
      <c r="P64" s="11"/>
      <c r="Q64" s="11" t="str">
        <f>IF(O64&lt;=O61,N64,N61)</f>
        <v>Coreia do Sul</v>
      </c>
      <c r="R64" s="11">
        <f>VLOOKUP(Q64,$A$61:$I$64,2,FALSE)</f>
        <v>0</v>
      </c>
      <c r="S64" s="11">
        <f>VLOOKUP(Q64,$A$61:$I$64,9,FALSE)</f>
        <v>-6</v>
      </c>
      <c r="T64" s="11"/>
      <c r="U64" s="11" t="str">
        <f>IF(AND(R63=R64,S64&gt;S63),Q63,Q64)</f>
        <v>Coreia do Sul</v>
      </c>
      <c r="V64" s="11">
        <f>VLOOKUP(U64,$A$61:$I$64,2,FALSE)</f>
        <v>0</v>
      </c>
      <c r="W64" s="11">
        <f>VLOOKUP(U64,$A$61:$I$64,9,FALSE)</f>
        <v>-6</v>
      </c>
      <c r="X64" s="11" t="str">
        <f>IF(AND(V62=V64,W64&gt;W62),U62,U64)</f>
        <v>Coreia do Sul</v>
      </c>
      <c r="Y64" s="11">
        <f>VLOOKUP(X64,$A$61:$I$64,2,FALSE)</f>
        <v>0</v>
      </c>
      <c r="Z64" s="11">
        <f>VLOOKUP(X64,$A$61:$I$64,9,FALSE)</f>
        <v>-6</v>
      </c>
      <c r="AA64" s="11"/>
      <c r="AB64" s="11" t="str">
        <f>IF(AND(Y64=Y61,Z64&gt;Z61),X61,X64)</f>
        <v>Coreia do Sul</v>
      </c>
      <c r="AC64" s="11">
        <f>VLOOKUP(AB64,$A$61:$I$64,2,FALSE)</f>
        <v>0</v>
      </c>
      <c r="AD64" s="11">
        <f>VLOOKUP(AB64,$A$61:$I$64,9,FALSE)</f>
        <v>-6</v>
      </c>
      <c r="AE64" s="11">
        <f>VLOOKUP(AB64,$A$61:$I$64,7,FALSE)</f>
        <v>3</v>
      </c>
      <c r="AF64" s="11" t="str">
        <f>IF(AND(AC64=AC63,AD64=AD63,AE64&gt;AE63),X63,X64)</f>
        <v>Coreia do Sul</v>
      </c>
      <c r="AG64" s="11">
        <f>VLOOKUP(AF64,$A$61:$I$64,2,FALSE)</f>
        <v>0</v>
      </c>
      <c r="AH64" s="11">
        <f>VLOOKUP(AF64,$A$61:$I$64,9,FALSE)</f>
        <v>-6</v>
      </c>
      <c r="AI64" s="11">
        <f>VLOOKUP(AF64,$A$61:$I$64,7,FALSE)</f>
        <v>3</v>
      </c>
      <c r="AJ64" s="11" t="str">
        <f>IF(AND(AG62=AG64,AH62=AH64,AI64&gt;AI62),AF62,AF64)</f>
        <v>Coreia do Sul</v>
      </c>
      <c r="AK64" s="11">
        <f>VLOOKUP(AJ64,$A$61:$I$64,2,FALSE)</f>
        <v>0</v>
      </c>
      <c r="AL64" s="11">
        <f>VLOOKUP(AJ64,$A$61:$I$64,9,FALSE)</f>
        <v>-6</v>
      </c>
      <c r="AM64" s="11">
        <f>VLOOKUP(AJ64,$A$61:$I$64,7,FALSE)</f>
        <v>3</v>
      </c>
      <c r="AN64" s="11" t="str">
        <f>IF(AND(AK64=AK61,AL64=AL61,AM64&gt;AM61),AJ61,AJ64)</f>
        <v>Coreia do Sul</v>
      </c>
      <c r="AO64" s="213">
        <f>VLOOKUP(AN64,$A$61:$I$64,2,FALSE)</f>
        <v>0</v>
      </c>
      <c r="AP64" s="213">
        <f>IF(Tabela!N2="www.guiadecompra.com",VLOOKUP(AN64,$A$61:$I$64,9,FALSE),0)</f>
        <v>-6</v>
      </c>
      <c r="AQ64" s="213">
        <f>VLOOKUP(AN64,$A$61:$I$64,7,FALSE)</f>
        <v>3</v>
      </c>
      <c r="AR64" s="12"/>
      <c r="AS64" s="12"/>
      <c r="AT64" s="12"/>
      <c r="AU64" s="12"/>
    </row>
    <row r="65" spans="1:95">
      <c r="A65" s="5"/>
      <c r="B65" s="3"/>
      <c r="C65" s="3"/>
      <c r="D65" s="3"/>
      <c r="E65" s="3"/>
      <c r="F65" s="3"/>
      <c r="G65" s="3"/>
      <c r="H65" s="3"/>
      <c r="I65" s="3"/>
      <c r="J65" s="3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</row>
    <row r="67" spans="1:95">
      <c r="A67" s="6" t="s">
        <v>205</v>
      </c>
      <c r="K67" s="11" t="s">
        <v>31</v>
      </c>
      <c r="L67" s="11"/>
      <c r="CO67" s="10">
        <f>MAX(CO69:CO75)</f>
        <v>1</v>
      </c>
    </row>
    <row r="68" spans="1:95">
      <c r="A68" s="37" t="s">
        <v>34</v>
      </c>
      <c r="B68" s="38" t="s">
        <v>4</v>
      </c>
      <c r="C68" s="39" t="s">
        <v>5</v>
      </c>
      <c r="D68" s="39" t="s">
        <v>6</v>
      </c>
      <c r="E68" s="39" t="s">
        <v>7</v>
      </c>
      <c r="F68" s="39" t="s">
        <v>8</v>
      </c>
      <c r="G68" s="39" t="s">
        <v>9</v>
      </c>
      <c r="H68" s="39" t="s">
        <v>10</v>
      </c>
      <c r="I68" s="39" t="s">
        <v>11</v>
      </c>
      <c r="K68" s="11"/>
      <c r="L68" s="11" t="s">
        <v>4</v>
      </c>
      <c r="O68" s="11" t="s">
        <v>4</v>
      </c>
      <c r="R68" s="11" t="s">
        <v>4</v>
      </c>
      <c r="V68" s="11" t="s">
        <v>4</v>
      </c>
      <c r="Y68" s="11" t="s">
        <v>4</v>
      </c>
      <c r="AC68" s="11" t="s">
        <v>4</v>
      </c>
      <c r="AG68" s="11" t="s">
        <v>4</v>
      </c>
      <c r="AH68" s="11" t="s">
        <v>11</v>
      </c>
      <c r="AK68" s="11" t="s">
        <v>4</v>
      </c>
      <c r="AL68" s="11" t="s">
        <v>11</v>
      </c>
      <c r="AO68" s="11" t="s">
        <v>4</v>
      </c>
      <c r="AP68" s="11" t="s">
        <v>11</v>
      </c>
      <c r="AS68" s="11" t="s">
        <v>4</v>
      </c>
      <c r="AT68" s="11" t="s">
        <v>11</v>
      </c>
      <c r="AW68" s="11" t="s">
        <v>4</v>
      </c>
      <c r="AX68" s="11" t="s">
        <v>11</v>
      </c>
      <c r="BA68" s="11" t="s">
        <v>4</v>
      </c>
      <c r="BB68" s="11" t="s">
        <v>11</v>
      </c>
      <c r="BE68" s="11" t="s">
        <v>4</v>
      </c>
      <c r="BF68" s="11" t="s">
        <v>11</v>
      </c>
      <c r="BI68" s="11" t="s">
        <v>4</v>
      </c>
      <c r="BJ68" s="11" t="s">
        <v>11</v>
      </c>
      <c r="BK68" s="11" t="s">
        <v>9</v>
      </c>
      <c r="BM68" s="11" t="s">
        <v>4</v>
      </c>
      <c r="BN68" s="11" t="s">
        <v>11</v>
      </c>
      <c r="BO68" s="11" t="s">
        <v>9</v>
      </c>
      <c r="BQ68" s="11" t="s">
        <v>4</v>
      </c>
      <c r="BR68" s="11" t="s">
        <v>11</v>
      </c>
      <c r="BS68" s="11" t="s">
        <v>9</v>
      </c>
      <c r="BU68" s="11" t="s">
        <v>4</v>
      </c>
      <c r="BV68" s="11" t="s">
        <v>11</v>
      </c>
      <c r="BW68" s="11" t="s">
        <v>9</v>
      </c>
      <c r="BY68" s="11" t="s">
        <v>4</v>
      </c>
      <c r="BZ68" s="11" t="s">
        <v>11</v>
      </c>
      <c r="CA68" s="11" t="s">
        <v>9</v>
      </c>
      <c r="CC68" s="11" t="s">
        <v>4</v>
      </c>
      <c r="CD68" s="11" t="s">
        <v>11</v>
      </c>
      <c r="CE68" s="11" t="s">
        <v>9</v>
      </c>
      <c r="CG68" s="11" t="s">
        <v>4</v>
      </c>
      <c r="CH68" s="11" t="s">
        <v>11</v>
      </c>
      <c r="CI68" s="11" t="s">
        <v>9</v>
      </c>
      <c r="CK68" s="11" t="s">
        <v>4</v>
      </c>
      <c r="CL68" s="11" t="s">
        <v>11</v>
      </c>
      <c r="CM68" s="11" t="s">
        <v>9</v>
      </c>
      <c r="CO68" s="10" t="s">
        <v>204</v>
      </c>
    </row>
    <row r="69" spans="1:95">
      <c r="A69" s="40" t="str">
        <f>Tabela!N8</f>
        <v>Holanda</v>
      </c>
      <c r="B69" s="41">
        <f>IF(Copa=FIFA,Tabela!O8,0)</f>
        <v>9</v>
      </c>
      <c r="C69" s="41">
        <f>IF(Copa=FIFA,Tabela!P8,0)</f>
        <v>3</v>
      </c>
      <c r="D69" s="41">
        <f>IF(Copa=FIFA,Tabela!Q8,0)</f>
        <v>3</v>
      </c>
      <c r="E69" s="41">
        <f>IF(Copa=FIFA,Tabela!R8,0)</f>
        <v>0</v>
      </c>
      <c r="F69" s="41">
        <f>IF(Copa=FIFA,Tabela!S8,0)</f>
        <v>0</v>
      </c>
      <c r="G69" s="41">
        <f>IF(Copa=FIFA,Tabela!T8,0)</f>
        <v>6</v>
      </c>
      <c r="H69" s="41">
        <f>IF(Copa=FIFA,Tabela!U8,0)</f>
        <v>1</v>
      </c>
      <c r="I69" s="41">
        <f>IF(Copa=FIFA,Tabela!V8,0)</f>
        <v>5</v>
      </c>
      <c r="K69" s="11" t="str">
        <f>IF(B69&gt;=B70,A69,A70)</f>
        <v>Holanda</v>
      </c>
      <c r="L69" s="11">
        <f>VLOOKUP(K69,$A$69:$I$76,2,FALSE)</f>
        <v>9</v>
      </c>
      <c r="N69" s="11" t="str">
        <f>IF(L69&gt;=L71,K69,K71)</f>
        <v>Holanda</v>
      </c>
      <c r="O69" s="11">
        <f>VLOOKUP(N69,$A$69:$I$76,2,FALSE)</f>
        <v>9</v>
      </c>
      <c r="Q69" s="11" t="str">
        <f>IF(O69&gt;=O72,N69,N72)</f>
        <v>Holanda</v>
      </c>
      <c r="R69" s="11">
        <f>VLOOKUP(Q69,$A$69:$I$76,2,FALSE)</f>
        <v>9</v>
      </c>
      <c r="U69" s="11" t="str">
        <f>IF(R69&gt;=R73,Q69,Q73)</f>
        <v>Holanda</v>
      </c>
      <c r="V69" s="11">
        <f>VLOOKUP(U69,$A$69:$I$76,2,FALSE)</f>
        <v>9</v>
      </c>
      <c r="X69" s="11" t="str">
        <f>IF(V69&gt;=V74,U69,U74)</f>
        <v>Holanda</v>
      </c>
      <c r="Y69" s="11">
        <f>VLOOKUP(X69,$A$69:$I$76,2,FALSE)</f>
        <v>9</v>
      </c>
      <c r="AB69" s="11" t="str">
        <f>IF(Y69&gt;=Y75,X69,X75)</f>
        <v>Holanda</v>
      </c>
      <c r="AC69" s="11">
        <f>VLOOKUP(AB69,$A$69:$I$76,2,FALSE)</f>
        <v>9</v>
      </c>
      <c r="AF69" s="11" t="str">
        <f>IF(AC69&gt;=AC76,AB69,AB76)</f>
        <v>Holanda</v>
      </c>
      <c r="AG69" s="11">
        <f>VLOOKUP(AF69,$A$69:$I$76,2,FALSE)</f>
        <v>9</v>
      </c>
      <c r="AH69" s="11">
        <f>VLOOKUP(AF69,$A$69:$I$76,9,FALSE)</f>
        <v>5</v>
      </c>
      <c r="AJ69" s="11" t="str">
        <f>IF(AND(AG69=AG70,AH70&gt;AH69),AF70,AF69)</f>
        <v>Portugal</v>
      </c>
      <c r="AK69" s="11">
        <f>VLOOKUP(AJ69,$A$69:$I$76,2,FALSE)</f>
        <v>9</v>
      </c>
      <c r="AL69" s="11">
        <f>VLOOKUP(AJ69,$A$69:$I$76,9,FALSE)</f>
        <v>8</v>
      </c>
      <c r="AN69" s="11" t="str">
        <f>IF(AND(AK69=AK71,AL71&gt;AL69),AJ71,AJ69)</f>
        <v>Portugal</v>
      </c>
      <c r="AO69" s="11">
        <f>VLOOKUP(AN69,$A$69:$I$76,2,FALSE)</f>
        <v>9</v>
      </c>
      <c r="AP69" s="11">
        <f>VLOOKUP(AN69,$A$69:$I$76,9,FALSE)</f>
        <v>8</v>
      </c>
      <c r="AR69" s="11" t="str">
        <f>IF(AND(AO69=AO72,AP72&gt;AP69),AN72,AN69)</f>
        <v>Portugal</v>
      </c>
      <c r="AS69" s="11">
        <f>VLOOKUP(AR69,$A$69:$I$76,2,FALSE)</f>
        <v>9</v>
      </c>
      <c r="AT69" s="11">
        <f>VLOOKUP(AR69,$A$69:$I$76,9,FALSE)</f>
        <v>8</v>
      </c>
      <c r="AV69" s="11" t="str">
        <f>IF(AND(AS69=AS73,AT73&gt;AT69),AR73,AR69)</f>
        <v>Portugal</v>
      </c>
      <c r="AW69" s="11">
        <f>VLOOKUP(AV69,$A$69:$I$76,2,FALSE)</f>
        <v>9</v>
      </c>
      <c r="AX69" s="11">
        <f>VLOOKUP(AV69,$A$69:$I$76,9,FALSE)</f>
        <v>8</v>
      </c>
      <c r="AZ69" s="11" t="str">
        <f>IF(AND(AW69=AW74,AX74&gt;AX69),AV74,AV69)</f>
        <v>Portugal</v>
      </c>
      <c r="BA69" s="11">
        <f>VLOOKUP(AZ69,$A$69:$I$76,2,FALSE)</f>
        <v>9</v>
      </c>
      <c r="BB69" s="11">
        <f>VLOOKUP(AZ69,$A$69:$I$76,9,FALSE)</f>
        <v>8</v>
      </c>
      <c r="BD69" s="11" t="str">
        <f>IF(AND(BA69=BA75,BB75&gt;BB69),AZ75,AZ69)</f>
        <v>Portugal</v>
      </c>
      <c r="BE69" s="11">
        <f>VLOOKUP(BD69,$A$69:$I$76,2,FALSE)</f>
        <v>9</v>
      </c>
      <c r="BF69" s="11">
        <f>VLOOKUP(BD69,$A$69:$I$76,9,FALSE)</f>
        <v>8</v>
      </c>
      <c r="BH69" s="11" t="str">
        <f>IF(AND(BE69=BE76,BF76&gt;BF69),BD76,BD69)</f>
        <v>Portugal</v>
      </c>
      <c r="BI69" s="11">
        <f>VLOOKUP(BH69,$A$69:$I$76,2,FALSE)</f>
        <v>9</v>
      </c>
      <c r="BJ69" s="11">
        <f>VLOOKUP(BH69,$A$69:$I$76,9,FALSE)</f>
        <v>8</v>
      </c>
      <c r="BK69" s="11">
        <f>VLOOKUP(BH69,$A$69:$I$76,7,FALSE)</f>
        <v>8</v>
      </c>
      <c r="BL69" s="11" t="str">
        <f>IF(AND(BI69=BI70,BJ69=BJ70,BK70&gt;BK69),BH70,BH69)</f>
        <v>Portugal</v>
      </c>
      <c r="BM69" s="11">
        <f>VLOOKUP(BL69,$A$69:$I$76,2,FALSE)</f>
        <v>9</v>
      </c>
      <c r="BN69" s="11">
        <f>VLOOKUP(BL69,$A$69:$I$76,9,FALSE)</f>
        <v>8</v>
      </c>
      <c r="BO69" s="11">
        <f>VLOOKUP(BL69,$A$69:$I$76,7,FALSE)</f>
        <v>8</v>
      </c>
      <c r="BP69" s="11" t="str">
        <f>IF(AND(BM69=BM71,BN69=BN71,BO71&gt;BO69),BL71,BL69)</f>
        <v>Portugal</v>
      </c>
      <c r="BQ69" s="11">
        <f>VLOOKUP(BP69,$A$69:$I$76,2,FALSE)</f>
        <v>9</v>
      </c>
      <c r="BR69" s="11">
        <f>VLOOKUP(BP69,$A$69:$I$76,9,FALSE)</f>
        <v>8</v>
      </c>
      <c r="BS69" s="11">
        <f>VLOOKUP(BP69,$A$69:$I$76,7,FALSE)</f>
        <v>8</v>
      </c>
      <c r="BT69" s="11" t="str">
        <f>IF(AND(BQ69=BQ72,BR69=BR72,BS72&gt;BS69),BP72,BP69)</f>
        <v>Portugal</v>
      </c>
      <c r="BU69" s="11">
        <f>VLOOKUP(BT69,$A$69:$I$76,2,FALSE)</f>
        <v>9</v>
      </c>
      <c r="BV69" s="11">
        <f>VLOOKUP(BT69,$A$69:$I$76,9,FALSE)</f>
        <v>8</v>
      </c>
      <c r="BW69" s="11">
        <f>VLOOKUP(BT69,$A$69:$I$76,7,FALSE)</f>
        <v>8</v>
      </c>
      <c r="BX69" s="11" t="str">
        <f>IF(AND(BU69=BU73,BV69=BV73,BW73&gt;BW69),BT73,BT69)</f>
        <v>Portugal</v>
      </c>
      <c r="BY69" s="11">
        <f>VLOOKUP(BX69,$A$69:$I$76,2,FALSE)</f>
        <v>9</v>
      </c>
      <c r="BZ69" s="11">
        <f>VLOOKUP(BX69,$A$69:$I$76,9,FALSE)</f>
        <v>8</v>
      </c>
      <c r="CA69" s="11">
        <f>VLOOKUP(BX69,$A$69:$I$76,7,FALSE)</f>
        <v>8</v>
      </c>
      <c r="CB69" s="11" t="str">
        <f>IF(AND(BY69=BY74,BZ69=BZ74,CA74&gt;CA69),BX74,BX69)</f>
        <v>Portugal</v>
      </c>
      <c r="CC69" s="11">
        <f>VLOOKUP(CB69,$A$69:$I$76,2,FALSE)</f>
        <v>9</v>
      </c>
      <c r="CD69" s="11">
        <f>VLOOKUP(CB69,$A$69:$I$76,9,FALSE)</f>
        <v>8</v>
      </c>
      <c r="CE69" s="11">
        <f>VLOOKUP(CB69,$A$69:$I$76,7,FALSE)</f>
        <v>8</v>
      </c>
      <c r="CF69" s="11" t="str">
        <f>IF(AND(CC69=CC75,CD69=CD75,CE75&gt;CE69),CB75,CB69)</f>
        <v>Portugal</v>
      </c>
      <c r="CG69" s="11">
        <f>VLOOKUP(CF69,$A$69:$I$76,2,FALSE)</f>
        <v>9</v>
      </c>
      <c r="CH69" s="11">
        <f>VLOOKUP(CF69,$A$69:$I$76,9,FALSE)</f>
        <v>8</v>
      </c>
      <c r="CI69" s="11">
        <f>VLOOKUP(CF69,$A$69:$I$76,7,FALSE)</f>
        <v>8</v>
      </c>
      <c r="CJ69" s="11" t="str">
        <f>IF(AND(CG69=CG76,CH69=CH76,CI76&gt;CI69),CF76,CF69)</f>
        <v>Portugal</v>
      </c>
      <c r="CK69" s="11">
        <f>VLOOKUP(CJ69,$A$69:$I$76,2,FALSE)</f>
        <v>9</v>
      </c>
      <c r="CL69" s="11">
        <f>VLOOKUP(CJ69,$A$69:$I$76,9,FALSE)</f>
        <v>8</v>
      </c>
      <c r="CM69" s="11">
        <f>VLOOKUP(CJ69,$A$69:$I$76,7,FALSE)</f>
        <v>8</v>
      </c>
      <c r="CO69" s="10">
        <f>IF(AND(CK69=CK70,CL69=CL70,CM69=CM70),2,1)</f>
        <v>1</v>
      </c>
      <c r="CQ69" s="10" t="str" cm="1">
        <f t="array" aca="1" ref="CQ69" ca="1">OFFSET($CJ$69,0,0,$CO$67)</f>
        <v>Portugal</v>
      </c>
    </row>
    <row r="70" spans="1:95">
      <c r="A70" s="40" t="str">
        <f>Tabela!N16</f>
        <v>Inglaterra</v>
      </c>
      <c r="B70" s="41">
        <f>IF(Copa=FIFA,Tabela!O16,0)</f>
        <v>7</v>
      </c>
      <c r="C70" s="41">
        <f>IF(Copa=FIFA,Tabela!P16,0)</f>
        <v>3</v>
      </c>
      <c r="D70" s="41">
        <f>IF(Copa=FIFA,Tabela!Q16,0)</f>
        <v>2</v>
      </c>
      <c r="E70" s="41">
        <f>IF(Copa=FIFA,Tabela!R16,0)</f>
        <v>1</v>
      </c>
      <c r="F70" s="41">
        <f>IF(Copa=FIFA,Tabela!S16,0)</f>
        <v>0</v>
      </c>
      <c r="G70" s="41">
        <f>IF(Copa=FIFA,Tabela!T16,0)</f>
        <v>6</v>
      </c>
      <c r="H70" s="41">
        <f>IF(Copa=FIFA,Tabela!U16,0)</f>
        <v>2</v>
      </c>
      <c r="I70" s="41">
        <f>IF(Copa=FIFA,Tabela!V16,0)</f>
        <v>4</v>
      </c>
      <c r="K70" s="11" t="str">
        <f>IF(B70&lt;=B69,A70,A69)</f>
        <v>Inglaterra</v>
      </c>
      <c r="L70" s="11">
        <f>VLOOKUP(K70,$A$69:$I$76,2,FALSE)</f>
        <v>7</v>
      </c>
      <c r="N70" s="11" t="str">
        <f>IF(L70&gt;=L72,K70,K72)</f>
        <v>Inglaterra</v>
      </c>
      <c r="O70" s="11">
        <f>VLOOKUP(N70,$A$69:$I$76,2,FALSE)</f>
        <v>7</v>
      </c>
      <c r="Q70" s="11" t="str">
        <f>IF(O70&gt;=O71,N70,N71)</f>
        <v>Inglaterra</v>
      </c>
      <c r="R70" s="11">
        <f>VLOOKUP(Q70,$A$69:$I$76,2,FALSE)</f>
        <v>7</v>
      </c>
      <c r="U70" s="11" t="str">
        <f>IF(R70&gt;=R74,Q70,Q74)</f>
        <v>Portugal</v>
      </c>
      <c r="V70" s="11">
        <f>VLOOKUP(U70,$A$69:$I$76,2,FALSE)</f>
        <v>9</v>
      </c>
      <c r="X70" s="11" t="str">
        <f>IF(V70&gt;=V73,U70,U73)</f>
        <v>Portugal</v>
      </c>
      <c r="Y70" s="11">
        <f>VLOOKUP(X70,$A$69:$I$76,2,FALSE)</f>
        <v>9</v>
      </c>
      <c r="AB70" s="11" t="str">
        <f>IF(Y70&gt;=Y76,X70,X76)</f>
        <v>Portugal</v>
      </c>
      <c r="AC70" s="11">
        <f>VLOOKUP(AB70,$A$69:$I$76,2,FALSE)</f>
        <v>9</v>
      </c>
      <c r="AF70" s="11" t="str">
        <f>IF(AC70&gt;=AC75,AB70,AB75)</f>
        <v>Portugal</v>
      </c>
      <c r="AG70" s="11">
        <f>VLOOKUP(AF70,$A$69:$I$76,2,FALSE)</f>
        <v>9</v>
      </c>
      <c r="AH70" s="11">
        <f t="shared" ref="AH70:AH76" si="0">VLOOKUP(AF70,$A$69:$I$76,9,FALSE)</f>
        <v>8</v>
      </c>
      <c r="AJ70" s="11" t="str">
        <f>IF(AND(AG69=AG70,AH70&gt;AH69),AF69,AF70)</f>
        <v>Holanda</v>
      </c>
      <c r="AK70" s="11">
        <f>VLOOKUP(AJ70,$A$69:$I$76,2,FALSE)</f>
        <v>9</v>
      </c>
      <c r="AL70" s="11">
        <f t="shared" ref="AL70:AL76" si="1">VLOOKUP(AJ70,$A$69:$I$76,9,FALSE)</f>
        <v>5</v>
      </c>
      <c r="AN70" s="11" t="str">
        <f>IF(AND(AK70=AK72,AL72&gt;AL70),AJ72,AJ70)</f>
        <v>Holanda</v>
      </c>
      <c r="AO70" s="11">
        <f>VLOOKUP(AN70,$A$69:$I$76,2,FALSE)</f>
        <v>9</v>
      </c>
      <c r="AP70" s="11">
        <f t="shared" ref="AP70:AP76" si="2">VLOOKUP(AN70,$A$69:$I$76,9,FALSE)</f>
        <v>5</v>
      </c>
      <c r="AR70" s="11" t="str">
        <f>IF(AND(AO70=AO71,AP71&gt;AP70),AN71,AN70)</f>
        <v>Brasil</v>
      </c>
      <c r="AS70" s="11">
        <f>VLOOKUP(AR70,$A$69:$I$76,2,FALSE)</f>
        <v>9</v>
      </c>
      <c r="AT70" s="11">
        <f t="shared" ref="AT70:AT76" si="3">VLOOKUP(AR70,$A$69:$I$76,9,FALSE)</f>
        <v>7</v>
      </c>
      <c r="AV70" s="11" t="str">
        <f t="shared" ref="AV70:AV72" si="4">IF(AND(AS70=AS74,AT74&gt;AT70),AR74,AR70)</f>
        <v>Brasil</v>
      </c>
      <c r="AW70" s="11">
        <f>VLOOKUP(AV70,$A$69:$I$76,2,FALSE)</f>
        <v>9</v>
      </c>
      <c r="AX70" s="11">
        <f t="shared" ref="AX70:AX76" si="5">VLOOKUP(AV70,$A$69:$I$76,9,FALSE)</f>
        <v>7</v>
      </c>
      <c r="AZ70" s="11" t="str">
        <f>IF(AND(AW70=AW73,AX73&gt;AX70),AV73,AV70)</f>
        <v>Brasil</v>
      </c>
      <c r="BA70" s="11">
        <f>VLOOKUP(AZ70,$A$69:$I$76,2,FALSE)</f>
        <v>9</v>
      </c>
      <c r="BB70" s="11">
        <f t="shared" ref="BB70:BB76" si="6">VLOOKUP(AZ70,$A$69:$I$76,9,FALSE)</f>
        <v>7</v>
      </c>
      <c r="BD70" s="11" t="str">
        <f>IF(AND(BA70=BA76,BB76&gt;BB70),AZ76,AZ70)</f>
        <v>Brasil</v>
      </c>
      <c r="BE70" s="11">
        <f>VLOOKUP(BD70,$A$69:$I$76,2,FALSE)</f>
        <v>9</v>
      </c>
      <c r="BF70" s="11">
        <f t="shared" ref="BF70:BF76" si="7">VLOOKUP(BD70,$A$69:$I$76,9,FALSE)</f>
        <v>7</v>
      </c>
      <c r="BH70" s="11" t="str">
        <f>IF(AND(BE70=BE75,BF75&gt;BF70),BD75,BD70)</f>
        <v>Brasil</v>
      </c>
      <c r="BI70" s="11">
        <f>VLOOKUP(BH70,$A$69:$I$76,2,FALSE)</f>
        <v>9</v>
      </c>
      <c r="BJ70" s="11">
        <f t="shared" ref="BJ70:BJ76" si="8">VLOOKUP(BH70,$A$69:$I$76,9,FALSE)</f>
        <v>7</v>
      </c>
      <c r="BK70" s="11">
        <f t="shared" ref="BK70:BK76" si="9">VLOOKUP(BH70,$A$69:$I$76,7,FALSE)</f>
        <v>8</v>
      </c>
      <c r="BL70" s="11" t="str">
        <f>IF(AND(BI70=BI69,BJ70=BJ69,BK70&gt;BK69),BH69,BH70)</f>
        <v>Brasil</v>
      </c>
      <c r="BM70" s="11">
        <f>VLOOKUP(BL70,$A$69:$I$76,2,FALSE)</f>
        <v>9</v>
      </c>
      <c r="BN70" s="11">
        <f t="shared" ref="BN70:BN76" si="10">VLOOKUP(BL70,$A$69:$I$76,9,FALSE)</f>
        <v>7</v>
      </c>
      <c r="BO70" s="11">
        <f t="shared" ref="BO70:BO76" si="11">VLOOKUP(BL70,$A$69:$I$76,7,FALSE)</f>
        <v>8</v>
      </c>
      <c r="BP70" s="11" t="str">
        <f>IF(AND(BM70=BM72,BN70=BN72,BO72&gt;BO70),BL72,BL70)</f>
        <v>Brasil</v>
      </c>
      <c r="BQ70" s="11">
        <f>VLOOKUP(BP70,$A$69:$I$76,2,FALSE)</f>
        <v>9</v>
      </c>
      <c r="BR70" s="11">
        <f t="shared" ref="BR70:BR76" si="12">VLOOKUP(BP70,$A$69:$I$76,9,FALSE)</f>
        <v>7</v>
      </c>
      <c r="BS70" s="11">
        <f t="shared" ref="BS70:BS76" si="13">VLOOKUP(BP70,$A$69:$I$76,7,FALSE)</f>
        <v>8</v>
      </c>
      <c r="BT70" s="11" t="str">
        <f>IF(AND(BQ70=BQ71,BR70=BR71,BS71&gt;BS70),BP71,BP70)</f>
        <v>Brasil</v>
      </c>
      <c r="BU70" s="11">
        <f>VLOOKUP(BT70,$A$69:$I$76,2,FALSE)</f>
        <v>9</v>
      </c>
      <c r="BV70" s="11">
        <f t="shared" ref="BV70:BV76" si="14">VLOOKUP(BT70,$A$69:$I$76,9,FALSE)</f>
        <v>7</v>
      </c>
      <c r="BW70" s="11">
        <f t="shared" ref="BW70:BW76" si="15">VLOOKUP(BT70,$A$69:$I$76,7,FALSE)</f>
        <v>8</v>
      </c>
      <c r="BX70" s="11" t="str">
        <f t="shared" ref="BX70:BX72" si="16">IF(AND(BU70=BU74,BV70=BV74,BW74&gt;BW70),BT74,BT70)</f>
        <v>Brasil</v>
      </c>
      <c r="BY70" s="11">
        <f>VLOOKUP(BX70,$A$69:$I$76,2,FALSE)</f>
        <v>9</v>
      </c>
      <c r="BZ70" s="11">
        <f t="shared" ref="BZ70:BZ76" si="17">VLOOKUP(BX70,$A$69:$I$76,9,FALSE)</f>
        <v>7</v>
      </c>
      <c r="CA70" s="11">
        <f t="shared" ref="CA70:CA76" si="18">VLOOKUP(BX70,$A$69:$I$76,7,FALSE)</f>
        <v>8</v>
      </c>
      <c r="CB70" s="11" t="str">
        <f>IF(AND(BY70=BY73,BZ70=BZ73,CA73&gt;CA70),BX73,BX70)</f>
        <v>Brasil</v>
      </c>
      <c r="CC70" s="11">
        <f>VLOOKUP(CB70,$A$69:$I$76,2,FALSE)</f>
        <v>9</v>
      </c>
      <c r="CD70" s="11">
        <f t="shared" ref="CD70:CD76" si="19">VLOOKUP(CB70,$A$69:$I$76,9,FALSE)</f>
        <v>7</v>
      </c>
      <c r="CE70" s="11">
        <f t="shared" ref="CE70:CE76" si="20">VLOOKUP(CB70,$A$69:$I$76,7,FALSE)</f>
        <v>8</v>
      </c>
      <c r="CF70" s="11" t="str">
        <f>IF(AND(CC70=CC76,CD70=CD76,CE76&gt;CE70),CB76,CB70)</f>
        <v>Brasil</v>
      </c>
      <c r="CG70" s="11">
        <f>VLOOKUP(CF70,$A$69:$I$76,2,FALSE)</f>
        <v>9</v>
      </c>
      <c r="CH70" s="11">
        <f t="shared" ref="CH70:CH76" si="21">VLOOKUP(CF70,$A$69:$I$76,9,FALSE)</f>
        <v>7</v>
      </c>
      <c r="CI70" s="11">
        <f t="shared" ref="CI70:CI76" si="22">VLOOKUP(CF70,$A$69:$I$76,7,FALSE)</f>
        <v>8</v>
      </c>
      <c r="CJ70" s="11" t="str">
        <f>IF(AND(CG70=CG75,CH70=CH75,CI75&gt;CI70),CF75,CF70)</f>
        <v>Brasil</v>
      </c>
      <c r="CK70" s="11">
        <f>VLOOKUP(CJ70,$A$69:$I$76,2,FALSE)</f>
        <v>9</v>
      </c>
      <c r="CL70" s="11">
        <f t="shared" ref="CL70:CL76" si="23">VLOOKUP(CJ70,$A$69:$I$76,9,FALSE)</f>
        <v>7</v>
      </c>
      <c r="CM70" s="11">
        <f t="shared" ref="CM70:CM76" si="24">VLOOKUP(CJ70,$A$69:$I$76,7,FALSE)</f>
        <v>8</v>
      </c>
      <c r="CO70" s="10">
        <f>IF(CO69=2,IF(AND(CK70=CK71,CL70=CL71,CM70=CM71),3,2),0)</f>
        <v>0</v>
      </c>
    </row>
    <row r="71" spans="1:95">
      <c r="A71" s="40" t="str">
        <f>Tabela!N24</f>
        <v>Argentina</v>
      </c>
      <c r="B71" s="41">
        <f>IF(Copa=FIFA,Tabela!O24,0)</f>
        <v>7</v>
      </c>
      <c r="C71" s="41">
        <f>IF(Copa=FIFA,Tabela!P24,0)</f>
        <v>3</v>
      </c>
      <c r="D71" s="41">
        <f>IF(Copa=FIFA,Tabela!Q24,0)</f>
        <v>2</v>
      </c>
      <c r="E71" s="41">
        <f>IF(Copa=FIFA,Tabela!R24,0)</f>
        <v>1</v>
      </c>
      <c r="F71" s="41">
        <f>IF(Copa=FIFA,Tabela!S24,0)</f>
        <v>0</v>
      </c>
      <c r="G71" s="41">
        <f>IF(Copa=FIFA,Tabela!T24,0)</f>
        <v>7</v>
      </c>
      <c r="H71" s="41">
        <f>IF(Copa=FIFA,Tabela!U24,0)</f>
        <v>3</v>
      </c>
      <c r="I71" s="41">
        <f>IF(Copa=FIFA,Tabela!V24,0)</f>
        <v>4</v>
      </c>
      <c r="K71" s="11" t="str">
        <f>IF(B71&gt;=B72,A71,A72)</f>
        <v>Argentina</v>
      </c>
      <c r="L71" s="11">
        <f t="shared" ref="L71:L76" si="25">VLOOKUP(K71,$A$69:$I$76,2,FALSE)</f>
        <v>7</v>
      </c>
      <c r="N71" s="11" t="str">
        <f>IF(L71&lt;=L69,K71,K69)</f>
        <v>Argentina</v>
      </c>
      <c r="O71" s="11">
        <f t="shared" ref="O71:O76" si="26">VLOOKUP(N71,$A$69:$I$76,2,FALSE)</f>
        <v>7</v>
      </c>
      <c r="Q71" s="11" t="str">
        <f>IF(O71&lt;=O70,N71,N70)</f>
        <v>Argentina</v>
      </c>
      <c r="R71" s="11">
        <f t="shared" ref="R71:R76" si="27">VLOOKUP(Q71,$A$69:$I$76,2,FALSE)</f>
        <v>7</v>
      </c>
      <c r="U71" s="11" t="str">
        <f>IF(R71&gt;=R75,Q71,Q75)</f>
        <v>Argentina</v>
      </c>
      <c r="V71" s="11">
        <f t="shared" ref="V71:V76" si="28">VLOOKUP(U71,$A$69:$I$76,2,FALSE)</f>
        <v>7</v>
      </c>
      <c r="X71" s="11" t="str">
        <f>IF(V71&gt;=V76,U71,U76)</f>
        <v>Argentina</v>
      </c>
      <c r="Y71" s="11">
        <f t="shared" ref="Y71:Y76" si="29">VLOOKUP(X71,$A$69:$I$76,2,FALSE)</f>
        <v>7</v>
      </c>
      <c r="AB71" s="11" t="str">
        <f>IF(Y71&gt;=Y73,X71,X73)</f>
        <v>Brasil</v>
      </c>
      <c r="AC71" s="11">
        <f t="shared" ref="AC71:AC76" si="30">VLOOKUP(AB71,$A$69:$I$76,2,FALSE)</f>
        <v>9</v>
      </c>
      <c r="AF71" s="11" t="str">
        <f>IF(AC71&gt;=AC74,AB71,AB74)</f>
        <v>Brasil</v>
      </c>
      <c r="AG71" s="11">
        <f t="shared" ref="AG71:AG76" si="31">VLOOKUP(AF71,$A$69:$I$76,2,FALSE)</f>
        <v>9</v>
      </c>
      <c r="AH71" s="11">
        <f t="shared" si="0"/>
        <v>7</v>
      </c>
      <c r="AJ71" s="11" t="str">
        <f>IF(AND(AG71=AG72,AH72&gt;AH71),AF72,AF71)</f>
        <v>Brasil</v>
      </c>
      <c r="AK71" s="11">
        <f t="shared" ref="AK71:AK76" si="32">VLOOKUP(AJ71,$A$69:$I$76,2,FALSE)</f>
        <v>9</v>
      </c>
      <c r="AL71" s="11">
        <f t="shared" si="1"/>
        <v>7</v>
      </c>
      <c r="AN71" s="11" t="str">
        <f>IF(AND(AK69=AK71,AL71&gt;AL69),AJ69,AJ71)</f>
        <v>Brasil</v>
      </c>
      <c r="AO71" s="11">
        <f t="shared" ref="AO71:AO76" si="33">VLOOKUP(AN71,$A$69:$I$76,2,FALSE)</f>
        <v>9</v>
      </c>
      <c r="AP71" s="11">
        <f t="shared" si="2"/>
        <v>7</v>
      </c>
      <c r="AR71" s="11" t="str">
        <f>IF(AND(AO70=AO71,AP71&gt;AP70),AN70,AN71)</f>
        <v>Holanda</v>
      </c>
      <c r="AS71" s="11">
        <f t="shared" ref="AS71:AS76" si="34">VLOOKUP(AR71,$A$69:$I$76,2,FALSE)</f>
        <v>9</v>
      </c>
      <c r="AT71" s="11">
        <f t="shared" si="3"/>
        <v>5</v>
      </c>
      <c r="AV71" s="11" t="str">
        <f t="shared" si="4"/>
        <v>Holanda</v>
      </c>
      <c r="AW71" s="11">
        <f t="shared" ref="AW71:AW76" si="35">VLOOKUP(AV71,$A$69:$I$76,2,FALSE)</f>
        <v>9</v>
      </c>
      <c r="AX71" s="11">
        <f t="shared" si="5"/>
        <v>5</v>
      </c>
      <c r="AZ71" s="11" t="str">
        <f>IF(AND(AW71=AW76,AX76&gt;AX71),AV76,AV71)</f>
        <v>Holanda</v>
      </c>
      <c r="BA71" s="11">
        <f t="shared" ref="BA71:BA76" si="36">VLOOKUP(AZ71,$A$69:$I$76,2,FALSE)</f>
        <v>9</v>
      </c>
      <c r="BB71" s="11">
        <f t="shared" si="6"/>
        <v>5</v>
      </c>
      <c r="BD71" s="11" t="str">
        <f>IF(AND(BA71=BA73,BB73&gt;BB71),AZ73,AZ71)</f>
        <v>Holanda</v>
      </c>
      <c r="BE71" s="11">
        <f t="shared" ref="BE71:BE76" si="37">VLOOKUP(BD71,$A$69:$I$76,2,FALSE)</f>
        <v>9</v>
      </c>
      <c r="BF71" s="11">
        <f t="shared" si="7"/>
        <v>5</v>
      </c>
      <c r="BH71" s="11" t="str">
        <f>IF(AND(BE71=BE74,BF74&gt;BF71),BD74,BD71)</f>
        <v>Holanda</v>
      </c>
      <c r="BI71" s="11">
        <f t="shared" ref="BI71:BI76" si="38">VLOOKUP(BH71,$A$69:$I$76,2,FALSE)</f>
        <v>9</v>
      </c>
      <c r="BJ71" s="11">
        <f t="shared" si="8"/>
        <v>5</v>
      </c>
      <c r="BK71" s="11">
        <f t="shared" si="9"/>
        <v>6</v>
      </c>
      <c r="BL71" s="11" t="str">
        <f>IF(AND(BI71=BI72,BJ71=BJ72,BK72&gt;BK71),BH72,BH71)</f>
        <v>Holanda</v>
      </c>
      <c r="BM71" s="11">
        <f t="shared" ref="BM71:BM76" si="39">VLOOKUP(BL71,$A$69:$I$76,2,FALSE)</f>
        <v>9</v>
      </c>
      <c r="BN71" s="11">
        <f t="shared" si="10"/>
        <v>5</v>
      </c>
      <c r="BO71" s="11">
        <f t="shared" si="11"/>
        <v>6</v>
      </c>
      <c r="BP71" s="11" t="str">
        <f>IF(AND(BM69=BM71,BN69=BN71,BO71&gt;BO69),BL69,BL71)</f>
        <v>Holanda</v>
      </c>
      <c r="BQ71" s="11">
        <f t="shared" ref="BQ71:BQ76" si="40">VLOOKUP(BP71,$A$69:$I$76,2,FALSE)</f>
        <v>9</v>
      </c>
      <c r="BR71" s="11">
        <f t="shared" si="12"/>
        <v>5</v>
      </c>
      <c r="BS71" s="11">
        <f t="shared" si="13"/>
        <v>6</v>
      </c>
      <c r="BT71" s="11" t="str">
        <f>IF(AND(BQ70=BQ71,BR70=BR71,BS71&gt;BS70),BP70,BP71)</f>
        <v>Holanda</v>
      </c>
      <c r="BU71" s="11">
        <f t="shared" ref="BU71:BU76" si="41">VLOOKUP(BT71,$A$69:$I$76,2,FALSE)</f>
        <v>9</v>
      </c>
      <c r="BV71" s="11">
        <f t="shared" si="14"/>
        <v>5</v>
      </c>
      <c r="BW71" s="11">
        <f t="shared" si="15"/>
        <v>6</v>
      </c>
      <c r="BX71" s="11" t="str">
        <f t="shared" si="16"/>
        <v>Holanda</v>
      </c>
      <c r="BY71" s="11">
        <f t="shared" ref="BY71:BY76" si="42">VLOOKUP(BX71,$A$69:$I$76,2,FALSE)</f>
        <v>9</v>
      </c>
      <c r="BZ71" s="11">
        <f t="shared" si="17"/>
        <v>5</v>
      </c>
      <c r="CA71" s="11">
        <f t="shared" si="18"/>
        <v>6</v>
      </c>
      <c r="CB71" s="11" t="str">
        <f>IF(AND(BY71=BY76,BZ71=BZ76,CA76&gt;CA71),BX76,BX71)</f>
        <v>Holanda</v>
      </c>
      <c r="CC71" s="11">
        <f t="shared" ref="CC71:CC76" si="43">VLOOKUP(CB71,$A$69:$I$76,2,FALSE)</f>
        <v>9</v>
      </c>
      <c r="CD71" s="11">
        <f t="shared" si="19"/>
        <v>5</v>
      </c>
      <c r="CE71" s="11">
        <f t="shared" si="20"/>
        <v>6</v>
      </c>
      <c r="CF71" s="11" t="str">
        <f>IF(AND(CC71=CC73,CD71=CD73,CE73&gt;CE71),CB73,CB71)</f>
        <v>Holanda</v>
      </c>
      <c r="CG71" s="11">
        <f t="shared" ref="CG71:CG76" si="44">VLOOKUP(CF71,$A$69:$I$76,2,FALSE)</f>
        <v>9</v>
      </c>
      <c r="CH71" s="11">
        <f t="shared" si="21"/>
        <v>5</v>
      </c>
      <c r="CI71" s="11">
        <f t="shared" si="22"/>
        <v>6</v>
      </c>
      <c r="CJ71" s="11" t="str">
        <f>IF(AND(CG71=CG74,CH71=CH74,CI74&gt;CI71),CF74,CF71)</f>
        <v>Holanda</v>
      </c>
      <c r="CK71" s="11">
        <f t="shared" ref="CK71:CK76" si="45">VLOOKUP(CJ71,$A$69:$I$76,2,FALSE)</f>
        <v>9</v>
      </c>
      <c r="CL71" s="11">
        <f t="shared" si="23"/>
        <v>5</v>
      </c>
      <c r="CM71" s="11">
        <f t="shared" si="24"/>
        <v>6</v>
      </c>
      <c r="CO71" s="10">
        <f>IF(CO70=3,IF(AND(CK71=CK72,CL71=CL72,CM71=CM72),4,3),0)</f>
        <v>0</v>
      </c>
    </row>
    <row r="72" spans="1:95">
      <c r="A72" s="40" t="str">
        <f>Tabela!N32</f>
        <v>Dinamarca</v>
      </c>
      <c r="B72" s="41">
        <f>IF(Copa=FIFA,Tabela!O32,0)</f>
        <v>7</v>
      </c>
      <c r="C72" s="41">
        <f>IF(Copa=FIFA,Tabela!P32,0)</f>
        <v>3</v>
      </c>
      <c r="D72" s="41">
        <f>IF(Copa=FIFA,Tabela!Q32,0)</f>
        <v>2</v>
      </c>
      <c r="E72" s="41">
        <f>IF(Copa=FIFA,Tabela!R32,0)</f>
        <v>1</v>
      </c>
      <c r="F72" s="41">
        <f>IF(Copa=FIFA,Tabela!S32,0)</f>
        <v>0</v>
      </c>
      <c r="G72" s="41">
        <f>IF(Copa=FIFA,Tabela!T32,0)</f>
        <v>8</v>
      </c>
      <c r="H72" s="41">
        <f>IF(Copa=FIFA,Tabela!U32,0)</f>
        <v>2</v>
      </c>
      <c r="I72" s="41">
        <f>IF(Copa=FIFA,Tabela!V32,0)</f>
        <v>6</v>
      </c>
      <c r="K72" s="11" t="str">
        <f>IF(B72&lt;=B71,A72,A71)</f>
        <v>Dinamarca</v>
      </c>
      <c r="L72" s="11">
        <f t="shared" si="25"/>
        <v>7</v>
      </c>
      <c r="N72" s="11" t="str">
        <f>IF(L72&lt;=L70,K72,K70)</f>
        <v>Dinamarca</v>
      </c>
      <c r="O72" s="11">
        <f t="shared" si="26"/>
        <v>7</v>
      </c>
      <c r="Q72" s="11" t="str">
        <f>IF(O72&lt;=O69,N72,N69)</f>
        <v>Dinamarca</v>
      </c>
      <c r="R72" s="11">
        <f t="shared" si="27"/>
        <v>7</v>
      </c>
      <c r="U72" s="11" t="str">
        <f>IF(R72&gt;=R76,Q72,Q76)</f>
        <v>Dinamarca</v>
      </c>
      <c r="V72" s="11">
        <f t="shared" si="28"/>
        <v>7</v>
      </c>
      <c r="X72" s="11" t="str">
        <f>IF(V72&gt;=V75,U72,U75)</f>
        <v>Dinamarca</v>
      </c>
      <c r="Y72" s="11">
        <f t="shared" si="29"/>
        <v>7</v>
      </c>
      <c r="AB72" s="11" t="str">
        <f>IF(Y72&gt;=Y74,X72,X74)</f>
        <v>Dinamarca</v>
      </c>
      <c r="AC72" s="11">
        <f t="shared" si="30"/>
        <v>7</v>
      </c>
      <c r="AF72" s="11" t="str">
        <f>IF(AC72&gt;=AC73,AB72,AB73)</f>
        <v>Dinamarca</v>
      </c>
      <c r="AG72" s="11">
        <f t="shared" si="31"/>
        <v>7</v>
      </c>
      <c r="AH72" s="11">
        <f t="shared" si="0"/>
        <v>6</v>
      </c>
      <c r="AJ72" s="11" t="str">
        <f>IF(AND(AG71=AG72,AH72&gt;AH71),AF71,AF72)</f>
        <v>Dinamarca</v>
      </c>
      <c r="AK72" s="11">
        <f t="shared" si="32"/>
        <v>7</v>
      </c>
      <c r="AL72" s="11">
        <f t="shared" si="1"/>
        <v>6</v>
      </c>
      <c r="AN72" s="11" t="str">
        <f>IF(AND(AK70=AK72,AL72&gt;AL70),AJ70,AJ72)</f>
        <v>Dinamarca</v>
      </c>
      <c r="AO72" s="11">
        <f t="shared" si="33"/>
        <v>7</v>
      </c>
      <c r="AP72" s="11">
        <f t="shared" si="2"/>
        <v>6</v>
      </c>
      <c r="AR72" s="11" t="str">
        <f>IF(AND(AO69=AO72,AP72&gt;AP69),AN69,AN72)</f>
        <v>Dinamarca</v>
      </c>
      <c r="AS72" s="11">
        <f t="shared" si="34"/>
        <v>7</v>
      </c>
      <c r="AT72" s="11">
        <f t="shared" si="3"/>
        <v>6</v>
      </c>
      <c r="AV72" s="11" t="str">
        <f t="shared" si="4"/>
        <v>Dinamarca</v>
      </c>
      <c r="AW72" s="11">
        <f t="shared" si="35"/>
        <v>7</v>
      </c>
      <c r="AX72" s="11">
        <f t="shared" si="5"/>
        <v>6</v>
      </c>
      <c r="AZ72" s="11" t="str">
        <f>IF(AND(AW72=AW75,AX75&gt;AX72),AV75,AV72)</f>
        <v>Dinamarca</v>
      </c>
      <c r="BA72" s="11">
        <f t="shared" si="36"/>
        <v>7</v>
      </c>
      <c r="BB72" s="11">
        <f t="shared" si="6"/>
        <v>6</v>
      </c>
      <c r="BD72" s="11" t="str">
        <f>IF(AND(BA72=BA74,BB74&gt;BB72),AZ74,AZ72)</f>
        <v>Dinamarca</v>
      </c>
      <c r="BE72" s="11">
        <f t="shared" si="37"/>
        <v>7</v>
      </c>
      <c r="BF72" s="11">
        <f t="shared" si="7"/>
        <v>6</v>
      </c>
      <c r="BH72" s="11" t="str">
        <f>IF(AND(BE72=BE73,BF73&gt;BF72),BD73,BD72)</f>
        <v>Alemanha</v>
      </c>
      <c r="BI72" s="11">
        <f t="shared" si="38"/>
        <v>7</v>
      </c>
      <c r="BJ72" s="11">
        <f t="shared" si="8"/>
        <v>8</v>
      </c>
      <c r="BK72" s="11">
        <f t="shared" si="9"/>
        <v>11</v>
      </c>
      <c r="BL72" s="11" t="str">
        <f>IF(AND(BI72=BI71,BJ72=BJ71,BK72&gt;BK71),BH71,BH72)</f>
        <v>Alemanha</v>
      </c>
      <c r="BM72" s="11">
        <f t="shared" si="39"/>
        <v>7</v>
      </c>
      <c r="BN72" s="11">
        <f t="shared" si="10"/>
        <v>8</v>
      </c>
      <c r="BO72" s="11">
        <f t="shared" si="11"/>
        <v>11</v>
      </c>
      <c r="BP72" s="11" t="str">
        <f>IF(AND(BM70=BM72,BN70=BN72,BO72&gt;BO70),BL70,BL72)</f>
        <v>Alemanha</v>
      </c>
      <c r="BQ72" s="11">
        <f t="shared" si="40"/>
        <v>7</v>
      </c>
      <c r="BR72" s="11">
        <f t="shared" si="12"/>
        <v>8</v>
      </c>
      <c r="BS72" s="11">
        <f t="shared" si="13"/>
        <v>11</v>
      </c>
      <c r="BT72" s="11" t="str">
        <f>IF(AND(BQ69=BQ72,BR69=BR72,BS72&gt;BS69),BP69,BP72)</f>
        <v>Alemanha</v>
      </c>
      <c r="BU72" s="11">
        <f t="shared" si="41"/>
        <v>7</v>
      </c>
      <c r="BV72" s="11">
        <f t="shared" si="14"/>
        <v>8</v>
      </c>
      <c r="BW72" s="11">
        <f t="shared" si="15"/>
        <v>11</v>
      </c>
      <c r="BX72" s="11" t="str">
        <f t="shared" si="16"/>
        <v>Alemanha</v>
      </c>
      <c r="BY72" s="11">
        <f t="shared" si="42"/>
        <v>7</v>
      </c>
      <c r="BZ72" s="11">
        <f t="shared" si="17"/>
        <v>8</v>
      </c>
      <c r="CA72" s="11">
        <f t="shared" si="18"/>
        <v>11</v>
      </c>
      <c r="CB72" s="11" t="str">
        <f>IF(AND(BY72=BY75,BZ72=BZ75,CA75&gt;CA72),BX75,BX72)</f>
        <v>Alemanha</v>
      </c>
      <c r="CC72" s="11">
        <f t="shared" si="43"/>
        <v>7</v>
      </c>
      <c r="CD72" s="11">
        <f t="shared" si="19"/>
        <v>8</v>
      </c>
      <c r="CE72" s="11">
        <f t="shared" si="20"/>
        <v>11</v>
      </c>
      <c r="CF72" s="11" t="str">
        <f>IF(AND(CC72=CC74,CD72=CD74,CE74&gt;CE72),CB74,CB72)</f>
        <v>Alemanha</v>
      </c>
      <c r="CG72" s="11">
        <f t="shared" si="44"/>
        <v>7</v>
      </c>
      <c r="CH72" s="11">
        <f t="shared" si="21"/>
        <v>8</v>
      </c>
      <c r="CI72" s="11">
        <f t="shared" si="22"/>
        <v>11</v>
      </c>
      <c r="CJ72" s="11" t="str">
        <f>IF(AND(CG72=CG73,CH72=CH73,CI73&gt;CI72),CF73,CF72)</f>
        <v>Alemanha</v>
      </c>
      <c r="CK72" s="11">
        <f t="shared" si="45"/>
        <v>7</v>
      </c>
      <c r="CL72" s="11">
        <f t="shared" si="23"/>
        <v>8</v>
      </c>
      <c r="CM72" s="11">
        <f t="shared" si="24"/>
        <v>11</v>
      </c>
      <c r="CO72" s="10">
        <f>IF(CO71=4,IF(AND(CK72=CK73,CL72=CL73,CM72=CM73),5,4),0)</f>
        <v>0</v>
      </c>
    </row>
    <row r="73" spans="1:95">
      <c r="A73" s="40" t="str">
        <f>Tabela!N40</f>
        <v>Alemanha</v>
      </c>
      <c r="B73" s="41">
        <f>IF(Copa=FIFA,Tabela!O40,0)</f>
        <v>7</v>
      </c>
      <c r="C73" s="41">
        <f>IF(Copa=FIFA,Tabela!P40,0)</f>
        <v>3</v>
      </c>
      <c r="D73" s="41">
        <f>IF(Copa=FIFA,Tabela!Q40,0)</f>
        <v>2</v>
      </c>
      <c r="E73" s="41">
        <f>IF(Copa=FIFA,Tabela!R40,0)</f>
        <v>1</v>
      </c>
      <c r="F73" s="41">
        <f>IF(Copa=FIFA,Tabela!S40,0)</f>
        <v>0</v>
      </c>
      <c r="G73" s="41">
        <f>IF(Copa=FIFA,Tabela!T40,0)</f>
        <v>11</v>
      </c>
      <c r="H73" s="41">
        <f>IF(Copa=FIFA,Tabela!U40,0)</f>
        <v>3</v>
      </c>
      <c r="I73" s="41">
        <f>IF(Copa=FIFA,Tabela!V40,0)</f>
        <v>8</v>
      </c>
      <c r="K73" s="11" t="str">
        <f>IF(B73&gt;=B74,A73,A74)</f>
        <v>Alemanha</v>
      </c>
      <c r="L73" s="11">
        <f t="shared" si="25"/>
        <v>7</v>
      </c>
      <c r="N73" s="11" t="str">
        <f>IF(L73&gt;=L75,K73,K75)</f>
        <v>Brasil</v>
      </c>
      <c r="O73" s="11">
        <f t="shared" si="26"/>
        <v>9</v>
      </c>
      <c r="Q73" s="11" t="str">
        <f>IF(O73&gt;=O76,N73,N76)</f>
        <v>Brasil</v>
      </c>
      <c r="R73" s="11">
        <f t="shared" si="27"/>
        <v>9</v>
      </c>
      <c r="U73" s="11" t="str">
        <f>IF(R69&gt;=R73,Q73,Q69)</f>
        <v>Brasil</v>
      </c>
      <c r="V73" s="11">
        <f t="shared" si="28"/>
        <v>9</v>
      </c>
      <c r="X73" s="11" t="str">
        <f>IF(V70&gt;=V73,U73,U70)</f>
        <v>Brasil</v>
      </c>
      <c r="Y73" s="11">
        <f t="shared" si="29"/>
        <v>9</v>
      </c>
      <c r="AB73" s="11" t="str">
        <f>IF(Y71&gt;=Y73,X73,X71)</f>
        <v>Argentina</v>
      </c>
      <c r="AC73" s="11">
        <f t="shared" si="30"/>
        <v>7</v>
      </c>
      <c r="AF73" s="11" t="str">
        <f>IF(AC72&gt;=AC73,AB73,AB72)</f>
        <v>Argentina</v>
      </c>
      <c r="AG73" s="11">
        <f t="shared" si="31"/>
        <v>7</v>
      </c>
      <c r="AH73" s="11">
        <f t="shared" si="0"/>
        <v>4</v>
      </c>
      <c r="AJ73" s="11" t="str">
        <f>IF(AND(AG73=AG74,AH74&gt;AH73),AF74,AF73)</f>
        <v>Argentina</v>
      </c>
      <c r="AK73" s="11">
        <f t="shared" si="32"/>
        <v>7</v>
      </c>
      <c r="AL73" s="11">
        <f t="shared" si="1"/>
        <v>4</v>
      </c>
      <c r="AN73" s="11" t="str">
        <f>IF(AND(AK73=AK75,AL75&gt;AL73),AJ75,AJ73)</f>
        <v>Alemanha</v>
      </c>
      <c r="AO73" s="11">
        <f t="shared" si="33"/>
        <v>7</v>
      </c>
      <c r="AP73" s="11">
        <f t="shared" si="2"/>
        <v>8</v>
      </c>
      <c r="AR73" s="11" t="str">
        <f>IF(AND(AO73=AO76,AP76&gt;AP73),AN76,AN73)</f>
        <v>Alemanha</v>
      </c>
      <c r="AS73" s="11">
        <f t="shared" si="34"/>
        <v>7</v>
      </c>
      <c r="AT73" s="11">
        <f t="shared" si="3"/>
        <v>8</v>
      </c>
      <c r="AV73" s="11" t="str">
        <f>IF(AND(AS69=AS73,AT73&gt;AT69),AR69,AR73)</f>
        <v>Alemanha</v>
      </c>
      <c r="AW73" s="11">
        <f t="shared" si="35"/>
        <v>7</v>
      </c>
      <c r="AX73" s="11">
        <f t="shared" si="5"/>
        <v>8</v>
      </c>
      <c r="AZ73" s="11" t="str">
        <f>IF(AND(AW70=AW73,AX73&gt;AX70),AV70,AV73)</f>
        <v>Alemanha</v>
      </c>
      <c r="BA73" s="11">
        <f t="shared" si="36"/>
        <v>7</v>
      </c>
      <c r="BB73" s="11">
        <f t="shared" si="6"/>
        <v>8</v>
      </c>
      <c r="BD73" s="11" t="str">
        <f>IF(AND(BA71=BA73,BB73&gt;BB71),AZ71,AZ73)</f>
        <v>Alemanha</v>
      </c>
      <c r="BE73" s="11">
        <f t="shared" si="37"/>
        <v>7</v>
      </c>
      <c r="BF73" s="11">
        <f t="shared" si="7"/>
        <v>8</v>
      </c>
      <c r="BH73" s="11" t="str">
        <f>IF(AND(BE72=BE73,BF73&gt;BF72),BD72,BD73)</f>
        <v>Dinamarca</v>
      </c>
      <c r="BI73" s="11">
        <f t="shared" si="38"/>
        <v>7</v>
      </c>
      <c r="BJ73" s="11">
        <f t="shared" si="8"/>
        <v>6</v>
      </c>
      <c r="BK73" s="11">
        <f t="shared" si="9"/>
        <v>8</v>
      </c>
      <c r="BL73" s="11" t="str">
        <f>IF(AND(BI73=BI74,BJ73=BJ74,BK74&gt;BK73),BH74,BH73)</f>
        <v>Dinamarca</v>
      </c>
      <c r="BM73" s="11">
        <f t="shared" si="39"/>
        <v>7</v>
      </c>
      <c r="BN73" s="11">
        <f t="shared" si="10"/>
        <v>6</v>
      </c>
      <c r="BO73" s="11">
        <f t="shared" si="11"/>
        <v>8</v>
      </c>
      <c r="BP73" s="11" t="str">
        <f>IF(AND(BM73=BM75,BN73=BN75,BO75&gt;BO73),BL75,BL73)</f>
        <v>Dinamarca</v>
      </c>
      <c r="BQ73" s="11">
        <f t="shared" si="40"/>
        <v>7</v>
      </c>
      <c r="BR73" s="11">
        <f t="shared" si="12"/>
        <v>6</v>
      </c>
      <c r="BS73" s="11">
        <f t="shared" si="13"/>
        <v>8</v>
      </c>
      <c r="BT73" s="11" t="str">
        <f>IF(AND(BQ73=BQ76,BR73=BR76,BS76&gt;BS73),BP76,BP73)</f>
        <v>Dinamarca</v>
      </c>
      <c r="BU73" s="11">
        <f t="shared" si="41"/>
        <v>7</v>
      </c>
      <c r="BV73" s="11">
        <f t="shared" si="14"/>
        <v>6</v>
      </c>
      <c r="BW73" s="11">
        <f t="shared" si="15"/>
        <v>8</v>
      </c>
      <c r="BX73" s="11" t="str">
        <f>IF(AND(BU69=BU73,BV69=BV73,BW73&gt;BW69),BT69,BT73)</f>
        <v>Dinamarca</v>
      </c>
      <c r="BY73" s="11">
        <f t="shared" si="42"/>
        <v>7</v>
      </c>
      <c r="BZ73" s="11">
        <f t="shared" si="17"/>
        <v>6</v>
      </c>
      <c r="CA73" s="11">
        <f t="shared" si="18"/>
        <v>8</v>
      </c>
      <c r="CB73" s="11" t="str">
        <f>IF(AND(BY70=BY73,BZ70=BZ73,CA73&gt;CA70),BX70,BX73)</f>
        <v>Dinamarca</v>
      </c>
      <c r="CC73" s="11">
        <f t="shared" si="43"/>
        <v>7</v>
      </c>
      <c r="CD73" s="11">
        <f t="shared" si="19"/>
        <v>6</v>
      </c>
      <c r="CE73" s="11">
        <f t="shared" si="20"/>
        <v>8</v>
      </c>
      <c r="CF73" s="11" t="str">
        <f>IF(AND(CC71=CC73,CD71=CD73,CE73&gt;CE71),CB71,CB73)</f>
        <v>Dinamarca</v>
      </c>
      <c r="CG73" s="11">
        <f t="shared" si="44"/>
        <v>7</v>
      </c>
      <c r="CH73" s="11">
        <f t="shared" si="21"/>
        <v>6</v>
      </c>
      <c r="CI73" s="11">
        <f t="shared" si="22"/>
        <v>8</v>
      </c>
      <c r="CJ73" s="11" t="str">
        <f>IF(AND(CG72=CG73,CH72=CH73,CI73&gt;CI72),CF72,CF73)</f>
        <v>Dinamarca</v>
      </c>
      <c r="CK73" s="11">
        <f t="shared" si="45"/>
        <v>7</v>
      </c>
      <c r="CL73" s="11">
        <f t="shared" si="23"/>
        <v>6</v>
      </c>
      <c r="CM73" s="11">
        <f t="shared" si="24"/>
        <v>8</v>
      </c>
      <c r="CO73" s="10">
        <f>IF(CO72=5,IF(AND(CK73=CK74,CL73=CL74,CM73=CM74),6,5),0)</f>
        <v>0</v>
      </c>
    </row>
    <row r="74" spans="1:95">
      <c r="A74" s="40" t="str">
        <f>Tabela!N48</f>
        <v>Croácia</v>
      </c>
      <c r="B74" s="41">
        <f>IF(Copa=FIFA,Tabela!O48,0)</f>
        <v>7</v>
      </c>
      <c r="C74" s="41">
        <f>IF(Copa=FIFA,Tabela!P48,0)</f>
        <v>3</v>
      </c>
      <c r="D74" s="41">
        <f>IF(Copa=FIFA,Tabela!Q48,0)</f>
        <v>2</v>
      </c>
      <c r="E74" s="41">
        <f>IF(Copa=FIFA,Tabela!R48,0)</f>
        <v>1</v>
      </c>
      <c r="F74" s="41">
        <f>IF(Copa=FIFA,Tabela!S48,0)</f>
        <v>0</v>
      </c>
      <c r="G74" s="41">
        <f>IF(Copa=FIFA,Tabela!T48,0)</f>
        <v>7</v>
      </c>
      <c r="H74" s="41">
        <f>IF(Copa=FIFA,Tabela!U48,0)</f>
        <v>4</v>
      </c>
      <c r="I74" s="41">
        <f>IF(Copa=FIFA,Tabela!V48,0)</f>
        <v>3</v>
      </c>
      <c r="K74" s="11" t="str">
        <f>IF(B74&lt;=B73,A74,A73)</f>
        <v>Croácia</v>
      </c>
      <c r="L74" s="11">
        <f t="shared" si="25"/>
        <v>7</v>
      </c>
      <c r="N74" s="11" t="str">
        <f>IF(L74&gt;=L76,K74,K76)</f>
        <v>Portugal</v>
      </c>
      <c r="O74" s="11">
        <f t="shared" si="26"/>
        <v>9</v>
      </c>
      <c r="Q74" s="11" t="str">
        <f>IF(O74&gt;=O75,N74,N75)</f>
        <v>Portugal</v>
      </c>
      <c r="R74" s="11">
        <f t="shared" si="27"/>
        <v>9</v>
      </c>
      <c r="U74" s="11" t="str">
        <f>IF(R70&gt;=R74,Q74,Q70)</f>
        <v>Inglaterra</v>
      </c>
      <c r="V74" s="11">
        <f t="shared" si="28"/>
        <v>7</v>
      </c>
      <c r="X74" s="11" t="str">
        <f>IF(V69&gt;=V74,U74,U69)</f>
        <v>Inglaterra</v>
      </c>
      <c r="Y74" s="11">
        <f t="shared" si="29"/>
        <v>7</v>
      </c>
      <c r="AB74" s="11" t="str">
        <f>IF(Y72&gt;=Y74,X74,X72)</f>
        <v>Inglaterra</v>
      </c>
      <c r="AC74" s="11">
        <f t="shared" si="30"/>
        <v>7</v>
      </c>
      <c r="AF74" s="11" t="str">
        <f>IF(AC71&gt;=AC74,AB74,AB71)</f>
        <v>Inglaterra</v>
      </c>
      <c r="AG74" s="11">
        <f t="shared" si="31"/>
        <v>7</v>
      </c>
      <c r="AH74" s="11">
        <f t="shared" si="0"/>
        <v>4</v>
      </c>
      <c r="AJ74" s="11" t="str">
        <f>IF(AND(AG73=AG74,AH74&gt;AH73),AF73,AF74)</f>
        <v>Inglaterra</v>
      </c>
      <c r="AK74" s="11">
        <f t="shared" si="32"/>
        <v>7</v>
      </c>
      <c r="AL74" s="11">
        <f t="shared" si="1"/>
        <v>4</v>
      </c>
      <c r="AN74" s="11" t="str">
        <f>IF(AND(AK74=AK76,AL76&gt;AL74),AJ76,AJ74)</f>
        <v>Inglaterra</v>
      </c>
      <c r="AO74" s="11">
        <f t="shared" si="33"/>
        <v>7</v>
      </c>
      <c r="AP74" s="11">
        <f t="shared" si="2"/>
        <v>4</v>
      </c>
      <c r="AR74" s="11" t="str">
        <f>IF(AND(AO74=AO75,AP75&gt;AP74),AN75,AN74)</f>
        <v>Inglaterra</v>
      </c>
      <c r="AS74" s="11">
        <f t="shared" si="34"/>
        <v>7</v>
      </c>
      <c r="AT74" s="11">
        <f t="shared" si="3"/>
        <v>4</v>
      </c>
      <c r="AV74" s="11" t="str">
        <f t="shared" ref="AV74:AV76" si="46">IF(AND(AS70=AS74,AT74&gt;AT70),AR70,AR74)</f>
        <v>Inglaterra</v>
      </c>
      <c r="AW74" s="11">
        <f t="shared" si="35"/>
        <v>7</v>
      </c>
      <c r="AX74" s="11">
        <f t="shared" si="5"/>
        <v>4</v>
      </c>
      <c r="AZ74" s="11" t="str">
        <f>IF(AND(AW69=AW74,AX74&gt;AX69),AV69,AV74)</f>
        <v>Inglaterra</v>
      </c>
      <c r="BA74" s="11">
        <f t="shared" si="36"/>
        <v>7</v>
      </c>
      <c r="BB74" s="11">
        <f t="shared" si="6"/>
        <v>4</v>
      </c>
      <c r="BD74" s="11" t="str">
        <f>IF(AND(BA72=BA74,BB74&gt;BB72),AZ72,AZ74)</f>
        <v>Inglaterra</v>
      </c>
      <c r="BE74" s="11">
        <f t="shared" si="37"/>
        <v>7</v>
      </c>
      <c r="BF74" s="11">
        <f t="shared" si="7"/>
        <v>4</v>
      </c>
      <c r="BH74" s="11" t="str">
        <f>IF(AND(BE71=BE74,BF74&gt;BF71),BD71,BD74)</f>
        <v>Inglaterra</v>
      </c>
      <c r="BI74" s="11">
        <f t="shared" si="38"/>
        <v>7</v>
      </c>
      <c r="BJ74" s="11">
        <f t="shared" si="8"/>
        <v>4</v>
      </c>
      <c r="BK74" s="11">
        <f t="shared" si="9"/>
        <v>6</v>
      </c>
      <c r="BL74" s="11" t="str">
        <f>IF(AND(BI74=BI73,BJ74=BJ73,BK74&gt;BK73),BH73,BH74)</f>
        <v>Inglaterra</v>
      </c>
      <c r="BM74" s="11">
        <f t="shared" si="39"/>
        <v>7</v>
      </c>
      <c r="BN74" s="11">
        <f t="shared" si="10"/>
        <v>4</v>
      </c>
      <c r="BO74" s="11">
        <f t="shared" si="11"/>
        <v>6</v>
      </c>
      <c r="BP74" s="11" t="str">
        <f>IF(AND(BM74=BM76,BN74=BN76,BO76&gt;BO74),BL76,BL74)</f>
        <v>Inglaterra</v>
      </c>
      <c r="BQ74" s="11">
        <f t="shared" si="40"/>
        <v>7</v>
      </c>
      <c r="BR74" s="11">
        <f t="shared" si="12"/>
        <v>4</v>
      </c>
      <c r="BS74" s="11">
        <f t="shared" si="13"/>
        <v>6</v>
      </c>
      <c r="BT74" s="11" t="str">
        <f>IF(AND(BQ74=BQ75,BR74=BR75,BS75&gt;BS74),BP75,BP74)</f>
        <v>Argentina</v>
      </c>
      <c r="BU74" s="11">
        <f t="shared" si="41"/>
        <v>7</v>
      </c>
      <c r="BV74" s="11">
        <f t="shared" si="14"/>
        <v>4</v>
      </c>
      <c r="BW74" s="11">
        <f t="shared" si="15"/>
        <v>7</v>
      </c>
      <c r="BX74" s="11" t="str">
        <f t="shared" ref="BX74:BX76" si="47">IF(AND(BU70=BU74,BV70=BV74,BW74&gt;BW70),BT70,BT74)</f>
        <v>Argentina</v>
      </c>
      <c r="BY74" s="11">
        <f t="shared" si="42"/>
        <v>7</v>
      </c>
      <c r="BZ74" s="11">
        <f t="shared" si="17"/>
        <v>4</v>
      </c>
      <c r="CA74" s="11">
        <f t="shared" si="18"/>
        <v>7</v>
      </c>
      <c r="CB74" s="11" t="str">
        <f>IF(AND(BY69=BY74,BZ69=BZ74,CA74&gt;CA69),BX69,BX74)</f>
        <v>Argentina</v>
      </c>
      <c r="CC74" s="11">
        <f t="shared" si="43"/>
        <v>7</v>
      </c>
      <c r="CD74" s="11">
        <f t="shared" si="19"/>
        <v>4</v>
      </c>
      <c r="CE74" s="11">
        <f t="shared" si="20"/>
        <v>7</v>
      </c>
      <c r="CF74" s="11" t="str">
        <f>IF(AND(CC72=CC74,CD72=CD74,CE74&gt;CE72),CB72,CB74)</f>
        <v>Argentina</v>
      </c>
      <c r="CG74" s="11">
        <f t="shared" si="44"/>
        <v>7</v>
      </c>
      <c r="CH74" s="11">
        <f t="shared" si="21"/>
        <v>4</v>
      </c>
      <c r="CI74" s="11">
        <f t="shared" si="22"/>
        <v>7</v>
      </c>
      <c r="CJ74" s="11" t="str">
        <f>IF(AND(CG71=CG74,CH71=CH74,CI74&gt;CI71),CF71,CF74)</f>
        <v>Argentina</v>
      </c>
      <c r="CK74" s="11">
        <f t="shared" si="45"/>
        <v>7</v>
      </c>
      <c r="CL74" s="11">
        <f t="shared" si="23"/>
        <v>4</v>
      </c>
      <c r="CM74" s="11">
        <f t="shared" si="24"/>
        <v>7</v>
      </c>
      <c r="CO74" s="10">
        <f>IF(CO73=6,IF(AND(CK74=CK75,CL74=CL75,CM74=CM75),7,6),0)</f>
        <v>0</v>
      </c>
    </row>
    <row r="75" spans="1:95">
      <c r="A75" s="40" t="str">
        <f>Tabela!N56</f>
        <v>Brasil</v>
      </c>
      <c r="B75" s="41">
        <f>IF(Copa=FIFA,Tabela!O56,0)</f>
        <v>9</v>
      </c>
      <c r="C75" s="41">
        <f>IF(Copa=FIFA,Tabela!P56,0)</f>
        <v>3</v>
      </c>
      <c r="D75" s="41">
        <f>IF(Copa=FIFA,Tabela!Q56,0)</f>
        <v>3</v>
      </c>
      <c r="E75" s="41">
        <f>IF(Copa=FIFA,Tabela!R56,0)</f>
        <v>0</v>
      </c>
      <c r="F75" s="41">
        <f>IF(Copa=FIFA,Tabela!S56,0)</f>
        <v>0</v>
      </c>
      <c r="G75" s="41">
        <f>IF(Copa=FIFA,Tabela!T56,0)</f>
        <v>8</v>
      </c>
      <c r="H75" s="41">
        <f>IF(Copa=FIFA,Tabela!U56,0)</f>
        <v>1</v>
      </c>
      <c r="I75" s="41">
        <f>IF(Copa=FIFA,Tabela!V56,0)</f>
        <v>7</v>
      </c>
      <c r="K75" s="11" t="str">
        <f>IF(B75&gt;=B76,A75,A76)</f>
        <v>Brasil</v>
      </c>
      <c r="L75" s="11">
        <f t="shared" si="25"/>
        <v>9</v>
      </c>
      <c r="N75" s="11" t="str">
        <f>IF(L75&lt;=L73,K75,K73)</f>
        <v>Alemanha</v>
      </c>
      <c r="O75" s="11">
        <f t="shared" si="26"/>
        <v>7</v>
      </c>
      <c r="Q75" s="11" t="str">
        <f>IF(O75&lt;=O74,N75,N74)</f>
        <v>Alemanha</v>
      </c>
      <c r="R75" s="11">
        <f t="shared" si="27"/>
        <v>7</v>
      </c>
      <c r="U75" s="11" t="str">
        <f>IF(R71&gt;=R75,Q75,Q71)</f>
        <v>Alemanha</v>
      </c>
      <c r="V75" s="11">
        <f t="shared" si="28"/>
        <v>7</v>
      </c>
      <c r="X75" s="11" t="str">
        <f>IF(V72&gt;=V75,U75,U72)</f>
        <v>Alemanha</v>
      </c>
      <c r="Y75" s="11">
        <f t="shared" si="29"/>
        <v>7</v>
      </c>
      <c r="AB75" s="11" t="str">
        <f>IF(Y69&gt;=Y75,X75,X75)</f>
        <v>Alemanha</v>
      </c>
      <c r="AC75" s="11">
        <f t="shared" si="30"/>
        <v>7</v>
      </c>
      <c r="AF75" s="11" t="str">
        <f>IF(AC70&gt;=AC75,AB75,AB70)</f>
        <v>Alemanha</v>
      </c>
      <c r="AG75" s="11">
        <f t="shared" si="31"/>
        <v>7</v>
      </c>
      <c r="AH75" s="11">
        <f t="shared" si="0"/>
        <v>8</v>
      </c>
      <c r="AJ75" s="11" t="str">
        <f>IF(AND(AG75=AG76,AH76&gt;AH75),AF76,AF75)</f>
        <v>Alemanha</v>
      </c>
      <c r="AK75" s="11">
        <f t="shared" si="32"/>
        <v>7</v>
      </c>
      <c r="AL75" s="11">
        <f t="shared" si="1"/>
        <v>8</v>
      </c>
      <c r="AN75" s="11" t="str">
        <f>IF(AND(AK73=AK75,AL75&gt;AL73),AJ73,AJ75)</f>
        <v>Argentina</v>
      </c>
      <c r="AO75" s="11">
        <f t="shared" si="33"/>
        <v>7</v>
      </c>
      <c r="AP75" s="11">
        <f t="shared" si="2"/>
        <v>4</v>
      </c>
      <c r="AR75" s="11" t="str">
        <f>IF(AND(AO74=AO75,AP75&gt;AP74),AN74,AN75)</f>
        <v>Argentina</v>
      </c>
      <c r="AS75" s="11">
        <f t="shared" si="34"/>
        <v>7</v>
      </c>
      <c r="AT75" s="11">
        <f t="shared" si="3"/>
        <v>4</v>
      </c>
      <c r="AV75" s="11" t="str">
        <f t="shared" si="46"/>
        <v>Argentina</v>
      </c>
      <c r="AW75" s="11">
        <f t="shared" si="35"/>
        <v>7</v>
      </c>
      <c r="AX75" s="11">
        <f t="shared" si="5"/>
        <v>4</v>
      </c>
      <c r="AZ75" s="11" t="str">
        <f>IF(AND(AW72=AW75,AX75&gt;AX72),AV72,AV75)</f>
        <v>Argentina</v>
      </c>
      <c r="BA75" s="11">
        <f t="shared" si="36"/>
        <v>7</v>
      </c>
      <c r="BB75" s="11">
        <f t="shared" si="6"/>
        <v>4</v>
      </c>
      <c r="BD75" s="11" t="str">
        <f>IF(AND(BA69=BA75,BB75&gt;BB69),AZ69,AZ75)</f>
        <v>Argentina</v>
      </c>
      <c r="BE75" s="11">
        <f t="shared" si="37"/>
        <v>7</v>
      </c>
      <c r="BF75" s="11">
        <f t="shared" si="7"/>
        <v>4</v>
      </c>
      <c r="BH75" s="11" t="str">
        <f>IF(AND(BE70=BE75,BF75&gt;BF70),BD70,BD75)</f>
        <v>Argentina</v>
      </c>
      <c r="BI75" s="11">
        <f t="shared" si="38"/>
        <v>7</v>
      </c>
      <c r="BJ75" s="11">
        <f t="shared" si="8"/>
        <v>4</v>
      </c>
      <c r="BK75" s="11">
        <f t="shared" si="9"/>
        <v>7</v>
      </c>
      <c r="BL75" s="11" t="str">
        <f>IF(AND(BI75=BI76,BJ75=BJ76,BK76&gt;BK75),BH76,BH75)</f>
        <v>Argentina</v>
      </c>
      <c r="BM75" s="11">
        <f t="shared" si="39"/>
        <v>7</v>
      </c>
      <c r="BN75" s="11">
        <f t="shared" si="10"/>
        <v>4</v>
      </c>
      <c r="BO75" s="11">
        <f t="shared" si="11"/>
        <v>7</v>
      </c>
      <c r="BP75" s="11" t="str">
        <f>IF(AND(BM73=BM75,BN73=BN75,BO75&gt;BO73),BL73,BL75)</f>
        <v>Argentina</v>
      </c>
      <c r="BQ75" s="11">
        <f t="shared" si="40"/>
        <v>7</v>
      </c>
      <c r="BR75" s="11">
        <f t="shared" si="12"/>
        <v>4</v>
      </c>
      <c r="BS75" s="11">
        <f t="shared" si="13"/>
        <v>7</v>
      </c>
      <c r="BT75" s="11" t="str">
        <f>IF(AND(BQ74=BQ75,BR74=BR75,BS75&gt;BS74),BP74,BP75)</f>
        <v>Inglaterra</v>
      </c>
      <c r="BU75" s="11">
        <f t="shared" si="41"/>
        <v>7</v>
      </c>
      <c r="BV75" s="11">
        <f t="shared" si="14"/>
        <v>4</v>
      </c>
      <c r="BW75" s="11">
        <f t="shared" si="15"/>
        <v>6</v>
      </c>
      <c r="BX75" s="11" t="str">
        <f t="shared" si="47"/>
        <v>Inglaterra</v>
      </c>
      <c r="BY75" s="11">
        <f t="shared" si="42"/>
        <v>7</v>
      </c>
      <c r="BZ75" s="11">
        <f t="shared" si="17"/>
        <v>4</v>
      </c>
      <c r="CA75" s="11">
        <f t="shared" si="18"/>
        <v>6</v>
      </c>
      <c r="CB75" s="11" t="str">
        <f>IF(AND(BY72=BY75,BZ72=BZ75,CA75&gt;CA72),BX72,BX75)</f>
        <v>Inglaterra</v>
      </c>
      <c r="CC75" s="11">
        <f t="shared" si="43"/>
        <v>7</v>
      </c>
      <c r="CD75" s="11">
        <f t="shared" si="19"/>
        <v>4</v>
      </c>
      <c r="CE75" s="11">
        <f t="shared" si="20"/>
        <v>6</v>
      </c>
      <c r="CF75" s="11" t="str">
        <f>IF(AND(CC69=CC75,CD69=CD75,CE75&gt;CE69),CB69,CB75)</f>
        <v>Inglaterra</v>
      </c>
      <c r="CG75" s="11">
        <f t="shared" si="44"/>
        <v>7</v>
      </c>
      <c r="CH75" s="11">
        <f t="shared" si="21"/>
        <v>4</v>
      </c>
      <c r="CI75" s="11">
        <f t="shared" si="22"/>
        <v>6</v>
      </c>
      <c r="CJ75" s="11" t="str">
        <f>IF(AND(CG70=CG75,CH70=CH75,CI75&gt;CI70),CF70,CF75)</f>
        <v>Inglaterra</v>
      </c>
      <c r="CK75" s="11">
        <f t="shared" si="45"/>
        <v>7</v>
      </c>
      <c r="CL75" s="11">
        <f t="shared" si="23"/>
        <v>4</v>
      </c>
      <c r="CM75" s="11">
        <f t="shared" si="24"/>
        <v>6</v>
      </c>
      <c r="CO75" s="10">
        <f>IF(CO74=7,IF(AND(CK75=CK76,CL75=CL76,CM75=CM76),8,7),0)</f>
        <v>0</v>
      </c>
    </row>
    <row r="76" spans="1:95">
      <c r="A76" s="40" t="str">
        <f>Tabela!N64</f>
        <v>Portugal</v>
      </c>
      <c r="B76" s="41">
        <f>IF(Copa=FIFA,Tabela!O64,0)</f>
        <v>9</v>
      </c>
      <c r="C76" s="41">
        <f>IF(Copa=FIFA,Tabela!P64,0)</f>
        <v>3</v>
      </c>
      <c r="D76" s="41">
        <f>IF(Copa=FIFA,Tabela!Q64,0)</f>
        <v>3</v>
      </c>
      <c r="E76" s="41">
        <f>IF(Copa=FIFA,Tabela!R64,0)</f>
        <v>0</v>
      </c>
      <c r="F76" s="41">
        <f>IF(Copa=FIFA,Tabela!S64,0)</f>
        <v>0</v>
      </c>
      <c r="G76" s="41">
        <f>IF(Copa=FIFA,Tabela!T64,0)</f>
        <v>8</v>
      </c>
      <c r="H76" s="41">
        <f>IF(Copa=FIFA,Tabela!U64,0)</f>
        <v>0</v>
      </c>
      <c r="I76" s="41">
        <f>IF(Copa=FIFA,Tabela!V64,0)</f>
        <v>8</v>
      </c>
      <c r="K76" s="11" t="str">
        <f>IF(B76&lt;=B75,A76,A75)</f>
        <v>Portugal</v>
      </c>
      <c r="L76" s="11">
        <f t="shared" si="25"/>
        <v>9</v>
      </c>
      <c r="N76" s="11" t="str">
        <f>IF(L76&lt;=L74,K76,K74)</f>
        <v>Croácia</v>
      </c>
      <c r="O76" s="11">
        <f t="shared" si="26"/>
        <v>7</v>
      </c>
      <c r="Q76" s="11" t="str">
        <f>IF(O76&lt;=O73,N76,N73)</f>
        <v>Croácia</v>
      </c>
      <c r="R76" s="11">
        <f t="shared" si="27"/>
        <v>7</v>
      </c>
      <c r="U76" s="11" t="str">
        <f>IF(R72&gt;=R76,Q76,Q72)</f>
        <v>Croácia</v>
      </c>
      <c r="V76" s="11">
        <f t="shared" si="28"/>
        <v>7</v>
      </c>
      <c r="X76" s="11" t="str">
        <f>IF(V71&gt;=V76,U76,U71)</f>
        <v>Croácia</v>
      </c>
      <c r="Y76" s="11">
        <f t="shared" si="29"/>
        <v>7</v>
      </c>
      <c r="AB76" s="11" t="str">
        <f>IF(Y70&gt;=Y76,X76,X70)</f>
        <v>Croácia</v>
      </c>
      <c r="AC76" s="11">
        <f t="shared" si="30"/>
        <v>7</v>
      </c>
      <c r="AF76" s="11" t="str">
        <f>IF(AC69&gt;=AC76,AB76,AB69)</f>
        <v>Croácia</v>
      </c>
      <c r="AG76" s="11">
        <f t="shared" si="31"/>
        <v>7</v>
      </c>
      <c r="AH76" s="11">
        <f t="shared" si="0"/>
        <v>3</v>
      </c>
      <c r="AJ76" s="11" t="str">
        <f>IF(AND(AG75=AG76,AH76&gt;AH75),AF75,AF76)</f>
        <v>Croácia</v>
      </c>
      <c r="AK76" s="11">
        <f t="shared" si="32"/>
        <v>7</v>
      </c>
      <c r="AL76" s="11">
        <f t="shared" si="1"/>
        <v>3</v>
      </c>
      <c r="AN76" s="11" t="str">
        <f>IF(AND(AK74=AK76,AL76&gt;AL74),AJ74,AJ76)</f>
        <v>Croácia</v>
      </c>
      <c r="AO76" s="11">
        <f t="shared" si="33"/>
        <v>7</v>
      </c>
      <c r="AP76" s="11">
        <f t="shared" si="2"/>
        <v>3</v>
      </c>
      <c r="AR76" s="11" t="str">
        <f>IF(AND(AO73=AO76,AP76&gt;AP73),AN73,AN76)</f>
        <v>Croácia</v>
      </c>
      <c r="AS76" s="11">
        <f t="shared" si="34"/>
        <v>7</v>
      </c>
      <c r="AT76" s="11">
        <f t="shared" si="3"/>
        <v>3</v>
      </c>
      <c r="AV76" s="11" t="str">
        <f t="shared" si="46"/>
        <v>Croácia</v>
      </c>
      <c r="AW76" s="11">
        <f t="shared" si="35"/>
        <v>7</v>
      </c>
      <c r="AX76" s="11">
        <f t="shared" si="5"/>
        <v>3</v>
      </c>
      <c r="AZ76" s="11" t="str">
        <f>IF(AND(AW71=AW76,AX76&gt;AX71),AV71,AV76)</f>
        <v>Croácia</v>
      </c>
      <c r="BA76" s="11">
        <f t="shared" si="36"/>
        <v>7</v>
      </c>
      <c r="BB76" s="11">
        <f t="shared" si="6"/>
        <v>3</v>
      </c>
      <c r="BD76" s="11" t="str">
        <f>IF(AND(BA70=BA76,BB76&gt;BB70),AZ70,AZ76)</f>
        <v>Croácia</v>
      </c>
      <c r="BE76" s="11">
        <f t="shared" si="37"/>
        <v>7</v>
      </c>
      <c r="BF76" s="11">
        <f t="shared" si="7"/>
        <v>3</v>
      </c>
      <c r="BH76" s="11" t="str">
        <f>IF(AND(BE69=BE76,BF76&gt;BF69),BD69,BD76)</f>
        <v>Croácia</v>
      </c>
      <c r="BI76" s="11">
        <f t="shared" si="38"/>
        <v>7</v>
      </c>
      <c r="BJ76" s="11">
        <f t="shared" si="8"/>
        <v>3</v>
      </c>
      <c r="BK76" s="11">
        <f t="shared" si="9"/>
        <v>7</v>
      </c>
      <c r="BL76" s="11" t="str">
        <f>IF(AND(BI76=BI75,BJ76=BJ75,BK76&gt;BK75),BH75,BH76)</f>
        <v>Croácia</v>
      </c>
      <c r="BM76" s="11">
        <f t="shared" si="39"/>
        <v>7</v>
      </c>
      <c r="BN76" s="11">
        <f t="shared" si="10"/>
        <v>3</v>
      </c>
      <c r="BO76" s="11">
        <f t="shared" si="11"/>
        <v>7</v>
      </c>
      <c r="BP76" s="11" t="str">
        <f>IF(AND(BM74=BM76,BN74=BN76,BO76&gt;BO74),BL74,BL76)</f>
        <v>Croácia</v>
      </c>
      <c r="BQ76" s="11">
        <f t="shared" si="40"/>
        <v>7</v>
      </c>
      <c r="BR76" s="11">
        <f t="shared" si="12"/>
        <v>3</v>
      </c>
      <c r="BS76" s="11">
        <f t="shared" si="13"/>
        <v>7</v>
      </c>
      <c r="BT76" s="11" t="str">
        <f>IF(AND(BQ73=BQ76,BR73=BR76,BS76&gt;BS73),BP73,BP76)</f>
        <v>Croácia</v>
      </c>
      <c r="BU76" s="11">
        <f t="shared" si="41"/>
        <v>7</v>
      </c>
      <c r="BV76" s="11">
        <f t="shared" si="14"/>
        <v>3</v>
      </c>
      <c r="BW76" s="11">
        <f t="shared" si="15"/>
        <v>7</v>
      </c>
      <c r="BX76" s="11" t="str">
        <f t="shared" si="47"/>
        <v>Croácia</v>
      </c>
      <c r="BY76" s="11">
        <f t="shared" si="42"/>
        <v>7</v>
      </c>
      <c r="BZ76" s="11">
        <f t="shared" si="17"/>
        <v>3</v>
      </c>
      <c r="CA76" s="11">
        <f t="shared" si="18"/>
        <v>7</v>
      </c>
      <c r="CB76" s="11" t="str">
        <f>IF(AND(BY71=BY76,BZ71=BZ76,CA76&gt;CA71),BX71,BX76)</f>
        <v>Croácia</v>
      </c>
      <c r="CC76" s="11">
        <f t="shared" si="43"/>
        <v>7</v>
      </c>
      <c r="CD76" s="11">
        <f t="shared" si="19"/>
        <v>3</v>
      </c>
      <c r="CE76" s="11">
        <f t="shared" si="20"/>
        <v>7</v>
      </c>
      <c r="CF76" s="11" t="str">
        <f>IF(AND(CC70=CC76,CD70=CD76,CE76&gt;CE70),CB70,CB76)</f>
        <v>Croácia</v>
      </c>
      <c r="CG76" s="11">
        <f t="shared" si="44"/>
        <v>7</v>
      </c>
      <c r="CH76" s="11">
        <f t="shared" si="21"/>
        <v>3</v>
      </c>
      <c r="CI76" s="11">
        <f t="shared" si="22"/>
        <v>7</v>
      </c>
      <c r="CJ76" s="11" t="str">
        <f>IF(AND(CG69=CG76,CH69=CH76,CI76&gt;CI69),CF69,CF76)</f>
        <v>Croácia</v>
      </c>
      <c r="CK76" s="11">
        <f t="shared" si="45"/>
        <v>7</v>
      </c>
      <c r="CL76" s="11">
        <f t="shared" si="23"/>
        <v>3</v>
      </c>
      <c r="CM76" s="11">
        <f t="shared" si="24"/>
        <v>7</v>
      </c>
    </row>
    <row r="77" spans="1:95">
      <c r="AB77" s="11"/>
    </row>
    <row r="78" spans="1:95">
      <c r="B78" s="10"/>
      <c r="C78" s="10"/>
      <c r="D78" s="10"/>
      <c r="E78" s="10"/>
      <c r="F78" s="10"/>
      <c r="G78" s="10"/>
      <c r="H78" s="10"/>
      <c r="I78" s="10"/>
    </row>
    <row r="79" spans="1:95">
      <c r="A79" s="6" t="s">
        <v>206</v>
      </c>
      <c r="CO79" s="10">
        <f>MAX(CO81:CO87)</f>
        <v>1</v>
      </c>
    </row>
    <row r="80" spans="1:95">
      <c r="A80" s="37" t="s">
        <v>34</v>
      </c>
      <c r="B80" s="38" t="s">
        <v>4</v>
      </c>
      <c r="C80" s="39" t="s">
        <v>5</v>
      </c>
      <c r="D80" s="39" t="s">
        <v>6</v>
      </c>
      <c r="E80" s="39" t="s">
        <v>7</v>
      </c>
      <c r="F80" s="39" t="s">
        <v>8</v>
      </c>
      <c r="G80" s="39" t="s">
        <v>9</v>
      </c>
      <c r="H80" s="39" t="s">
        <v>10</v>
      </c>
      <c r="I80" s="39" t="s">
        <v>11</v>
      </c>
      <c r="K80" s="11"/>
      <c r="L80" s="11" t="s">
        <v>4</v>
      </c>
      <c r="O80" s="11" t="s">
        <v>4</v>
      </c>
      <c r="R80" s="11" t="s">
        <v>4</v>
      </c>
      <c r="V80" s="11" t="s">
        <v>4</v>
      </c>
      <c r="Y80" s="11" t="s">
        <v>4</v>
      </c>
      <c r="AC80" s="11" t="s">
        <v>4</v>
      </c>
      <c r="AG80" s="11" t="s">
        <v>4</v>
      </c>
      <c r="AH80" s="11" t="s">
        <v>11</v>
      </c>
      <c r="AK80" s="11" t="s">
        <v>4</v>
      </c>
      <c r="AL80" s="11" t="s">
        <v>11</v>
      </c>
      <c r="AO80" s="11" t="s">
        <v>4</v>
      </c>
      <c r="AP80" s="11" t="s">
        <v>11</v>
      </c>
      <c r="AS80" s="11" t="s">
        <v>4</v>
      </c>
      <c r="AT80" s="11" t="s">
        <v>11</v>
      </c>
      <c r="AW80" s="11" t="s">
        <v>4</v>
      </c>
      <c r="AX80" s="11" t="s">
        <v>11</v>
      </c>
      <c r="BA80" s="11" t="s">
        <v>4</v>
      </c>
      <c r="BB80" s="11" t="s">
        <v>11</v>
      </c>
      <c r="BE80" s="11" t="s">
        <v>4</v>
      </c>
      <c r="BF80" s="11" t="s">
        <v>11</v>
      </c>
      <c r="BI80" s="11" t="s">
        <v>4</v>
      </c>
      <c r="BJ80" s="11" t="s">
        <v>11</v>
      </c>
      <c r="BK80" s="11" t="s">
        <v>9</v>
      </c>
      <c r="BM80" s="11" t="s">
        <v>4</v>
      </c>
      <c r="BN80" s="11" t="s">
        <v>11</v>
      </c>
      <c r="BO80" s="11" t="s">
        <v>9</v>
      </c>
      <c r="BQ80" s="11" t="s">
        <v>4</v>
      </c>
      <c r="BR80" s="11" t="s">
        <v>11</v>
      </c>
      <c r="BS80" s="11" t="s">
        <v>9</v>
      </c>
      <c r="BU80" s="11" t="s">
        <v>4</v>
      </c>
      <c r="BV80" s="11" t="s">
        <v>11</v>
      </c>
      <c r="BW80" s="11" t="s">
        <v>9</v>
      </c>
      <c r="BY80" s="11" t="s">
        <v>4</v>
      </c>
      <c r="BZ80" s="11" t="s">
        <v>11</v>
      </c>
      <c r="CA80" s="11" t="s">
        <v>9</v>
      </c>
      <c r="CC80" s="11" t="s">
        <v>4</v>
      </c>
      <c r="CD80" s="11" t="s">
        <v>11</v>
      </c>
      <c r="CE80" s="11" t="s">
        <v>9</v>
      </c>
      <c r="CG80" s="11" t="s">
        <v>4</v>
      </c>
      <c r="CH80" s="11" t="s">
        <v>11</v>
      </c>
      <c r="CI80" s="11" t="s">
        <v>9</v>
      </c>
      <c r="CK80" s="11" t="s">
        <v>4</v>
      </c>
      <c r="CL80" s="11" t="s">
        <v>11</v>
      </c>
      <c r="CM80" s="11" t="s">
        <v>9</v>
      </c>
      <c r="CO80" s="10" t="s">
        <v>204</v>
      </c>
      <c r="CQ80" s="10" t="str" cm="1">
        <f t="array" aca="1" ref="CQ80" ca="1">OFFSET($CJ$88,0,0,-$CO$79)</f>
        <v>Austrália</v>
      </c>
    </row>
    <row r="81" spans="1:93">
      <c r="A81" s="40" t="str">
        <f>Tabela!N11</f>
        <v>Senegal</v>
      </c>
      <c r="B81" s="41">
        <f>Tabela!O11</f>
        <v>1</v>
      </c>
      <c r="C81" s="41">
        <f>Tabela!P11</f>
        <v>3</v>
      </c>
      <c r="D81" s="41">
        <f>Tabela!Q11</f>
        <v>0</v>
      </c>
      <c r="E81" s="41">
        <f>Tabela!R11</f>
        <v>1</v>
      </c>
      <c r="F81" s="41">
        <f>Tabela!S11</f>
        <v>2</v>
      </c>
      <c r="G81" s="41">
        <f>Tabela!T11</f>
        <v>2</v>
      </c>
      <c r="H81" s="41">
        <f>Tabela!U11</f>
        <v>5</v>
      </c>
      <c r="I81" s="41">
        <f>Tabela!V11</f>
        <v>-3</v>
      </c>
      <c r="K81" s="11" t="str">
        <f>IF(B81&gt;=B82,A81,A82)</f>
        <v>Senegal</v>
      </c>
      <c r="L81" s="11">
        <f>VLOOKUP(K81,$A$81:$I$88,2,FALSE)</f>
        <v>1</v>
      </c>
      <c r="N81" s="11" t="str">
        <f>IF(L81&gt;=L83,K81,K83)</f>
        <v>Senegal</v>
      </c>
      <c r="O81" s="11">
        <f>VLOOKUP(N81,$A$81:$I$88,2,FALSE)</f>
        <v>1</v>
      </c>
      <c r="Q81" s="11" t="str">
        <f>IF(O81&gt;=O84,N81,N84)</f>
        <v>Senegal</v>
      </c>
      <c r="R81" s="11">
        <f>VLOOKUP(Q81,$A$81:$I$88,2,FALSE)</f>
        <v>1</v>
      </c>
      <c r="U81" s="11" t="str">
        <f>IF(R81&gt;=R85,Q81,Q85)</f>
        <v>Senegal</v>
      </c>
      <c r="V81" s="11">
        <f>VLOOKUP(U81,$A$81:$I$88,2,FALSE)</f>
        <v>1</v>
      </c>
      <c r="X81" s="11" t="str">
        <f>IF(V81&gt;=V86,U81,U86)</f>
        <v>Senegal</v>
      </c>
      <c r="Y81" s="11">
        <f>VLOOKUP(X81,$A$81:$I$88,2,FALSE)</f>
        <v>1</v>
      </c>
      <c r="AB81" s="11" t="str">
        <f>IF(Y81&gt;=Y87,X81,X87)</f>
        <v>Senegal</v>
      </c>
      <c r="AC81" s="11">
        <f>VLOOKUP(AB81,$A$81:$I$88,2,FALSE)</f>
        <v>1</v>
      </c>
      <c r="AF81" s="11" t="str">
        <f>IF(AC81&gt;=AC88,AB81,AB88)</f>
        <v>Senegal</v>
      </c>
      <c r="AG81" s="11">
        <f>VLOOKUP(AF81,$A$81:$I$88,2,FALSE)</f>
        <v>1</v>
      </c>
      <c r="AH81" s="11">
        <f>VLOOKUP(AF81,$A$81:$I$88,9,FALSE)</f>
        <v>-3</v>
      </c>
      <c r="AJ81" s="11" t="str">
        <f>IF(AND(AG81=AG82,AH82&gt;AH81),AF82,AF81)</f>
        <v>Marrocos</v>
      </c>
      <c r="AK81" s="11">
        <f>VLOOKUP(AJ81,$A$81:$I$88,2,FALSE)</f>
        <v>1</v>
      </c>
      <c r="AL81" s="11">
        <f>VLOOKUP(AJ81,$A$81:$I$88,9,FALSE)</f>
        <v>-2</v>
      </c>
      <c r="AN81" s="11" t="str">
        <f>IF(AND(AK81=AK83,AL83&gt;AL81),AJ83,AJ81)</f>
        <v>Marrocos</v>
      </c>
      <c r="AO81" s="11">
        <f>VLOOKUP(AN81,$A$81:$I$88,2,FALSE)</f>
        <v>1</v>
      </c>
      <c r="AP81" s="11">
        <f>VLOOKUP(AN81,$A$81:$I$88,9,FALSE)</f>
        <v>-2</v>
      </c>
      <c r="AR81" s="11" t="str">
        <f>IF(AND(AO81=AO84,AP84&gt;AP81),AN84,AN81)</f>
        <v>Marrocos</v>
      </c>
      <c r="AS81" s="11">
        <f>VLOOKUP(AR81,$A$81:$I$88,2,FALSE)</f>
        <v>1</v>
      </c>
      <c r="AT81" s="11">
        <f>VLOOKUP(AR81,$A$81:$I$88,9,FALSE)</f>
        <v>-2</v>
      </c>
      <c r="AV81" s="11" t="str">
        <f>IF(AND(AS81=AS85,AT85&gt;AT81),AR85,AR81)</f>
        <v>Marrocos</v>
      </c>
      <c r="AW81" s="11">
        <f>VLOOKUP(AV81,$A$81:$I$88,2,FALSE)</f>
        <v>1</v>
      </c>
      <c r="AX81" s="11">
        <f>VLOOKUP(AV81,$A$81:$I$88,9,FALSE)</f>
        <v>-2</v>
      </c>
      <c r="AZ81" s="11" t="str">
        <f>IF(AND(AW81=AW86,AX86&gt;AX81),AV86,AV81)</f>
        <v>Marrocos</v>
      </c>
      <c r="BA81" s="11">
        <f>VLOOKUP(AZ81,$A$81:$I$88,2,FALSE)</f>
        <v>1</v>
      </c>
      <c r="BB81" s="11">
        <f>VLOOKUP(AZ81,$A$81:$I$88,9,FALSE)</f>
        <v>-2</v>
      </c>
      <c r="BD81" s="11" t="str">
        <f>IF(AND(BA81=BA87,BB87&gt;BB81),AZ87,AZ81)</f>
        <v>Marrocos</v>
      </c>
      <c r="BE81" s="11">
        <f>VLOOKUP(BD81,$A$81:$I$88,2,FALSE)</f>
        <v>1</v>
      </c>
      <c r="BF81" s="11">
        <f>VLOOKUP(BD81,$A$81:$I$88,9,FALSE)</f>
        <v>-2</v>
      </c>
      <c r="BH81" s="11" t="str">
        <f>IF(AND(BE81=BE88,BF88&gt;BF81),BD88,BD81)</f>
        <v>Marrocos</v>
      </c>
      <c r="BI81" s="11">
        <f>VLOOKUP(BH81,$A$81:$I$88,2,FALSE)</f>
        <v>1</v>
      </c>
      <c r="BJ81" s="11">
        <f>VLOOKUP(BH81,$A$81:$I$88,9,FALSE)</f>
        <v>-2</v>
      </c>
      <c r="BK81" s="11">
        <f>VLOOKUP(BH81,$A$81:$I$88,7,FALSE)</f>
        <v>4</v>
      </c>
      <c r="BL81" s="11" t="str">
        <f>IF(AND(BI81=BI82,BJ81=BJ82,BK82&gt;BK81),BH82,BH81)</f>
        <v>Marrocos</v>
      </c>
      <c r="BM81" s="11">
        <f>VLOOKUP(BL81,$A$81:$I$88,2,FALSE)</f>
        <v>1</v>
      </c>
      <c r="BN81" s="11">
        <f>VLOOKUP(BL81,$A$81:$I$88,9,FALSE)</f>
        <v>-2</v>
      </c>
      <c r="BO81" s="11">
        <f>VLOOKUP(BL81,$A$81:$I$88,7,FALSE)</f>
        <v>4</v>
      </c>
      <c r="BP81" s="11" t="str">
        <f>IF(AND(BM81=BM83,BN81=BN83,BO83&gt;BO81),BL83,BL81)</f>
        <v>Marrocos</v>
      </c>
      <c r="BQ81" s="11">
        <f>VLOOKUP(BP81,$A$81:$I$88,2,FALSE)</f>
        <v>1</v>
      </c>
      <c r="BR81" s="11">
        <f>VLOOKUP(BP81,$A$81:$I$88,9,FALSE)</f>
        <v>-2</v>
      </c>
      <c r="BS81" s="11">
        <f>VLOOKUP(BP81,$A$81:$I$88,7,FALSE)</f>
        <v>4</v>
      </c>
      <c r="BT81" s="11" t="str">
        <f>IF(AND(BQ81=BQ84,BR81=BR84,BS84&gt;BS81),BP84,BP81)</f>
        <v>Marrocos</v>
      </c>
      <c r="BU81" s="11">
        <f>VLOOKUP(BT81,$A$81:$I$88,2,FALSE)</f>
        <v>1</v>
      </c>
      <c r="BV81" s="11">
        <f>VLOOKUP(BT81,$A$81:$I$88,9,FALSE)</f>
        <v>-2</v>
      </c>
      <c r="BW81" s="11">
        <f>VLOOKUP(BT81,$A$81:$I$88,7,FALSE)</f>
        <v>4</v>
      </c>
      <c r="BX81" s="11" t="str">
        <f>IF(AND(BU81=BU85,BV81=BV85,BW85&gt;BW81),BT85,BT81)</f>
        <v>Marrocos</v>
      </c>
      <c r="BY81" s="11">
        <f>VLOOKUP(BX81,$A$81:$I$88,2,FALSE)</f>
        <v>1</v>
      </c>
      <c r="BZ81" s="11">
        <f>VLOOKUP(BX81,$A$81:$I$88,9,FALSE)</f>
        <v>-2</v>
      </c>
      <c r="CA81" s="11">
        <f>VLOOKUP(BX81,$A$81:$I$88,7,FALSE)</f>
        <v>4</v>
      </c>
      <c r="CB81" s="11" t="str">
        <f>IF(AND(BY81=BY86,BZ81=BZ86,CA86&gt;CA81),BX86,BX81)</f>
        <v>Marrocos</v>
      </c>
      <c r="CC81" s="11">
        <f>VLOOKUP(CB81,$A$81:$I$88,2,FALSE)</f>
        <v>1</v>
      </c>
      <c r="CD81" s="11">
        <f>VLOOKUP(CB81,$A$81:$I$88,9,FALSE)</f>
        <v>-2</v>
      </c>
      <c r="CE81" s="11">
        <f>VLOOKUP(CB81,$A$81:$I$88,7,FALSE)</f>
        <v>4</v>
      </c>
      <c r="CF81" s="11" t="str">
        <f>IF(AND(CC81=CC87,CD81=CD87,CE87&gt;CE81),CB87,CB81)</f>
        <v>Marrocos</v>
      </c>
      <c r="CG81" s="11">
        <f>VLOOKUP(CF81,$A$81:$I$88,2,FALSE)</f>
        <v>1</v>
      </c>
      <c r="CH81" s="11">
        <f>VLOOKUP(CF81,$A$81:$I$88,9,FALSE)</f>
        <v>-2</v>
      </c>
      <c r="CI81" s="11">
        <f>VLOOKUP(CF81,$A$81:$I$88,7,FALSE)</f>
        <v>4</v>
      </c>
      <c r="CJ81" s="11" t="str">
        <f>IF(AND(CG81=CG88,CH81=CH88,CI88&gt;CI81),CF88,CF81)</f>
        <v>Marrocos</v>
      </c>
      <c r="CK81" s="11">
        <f>VLOOKUP(CJ81,$A$81:$I$88,2,FALSE)</f>
        <v>1</v>
      </c>
      <c r="CL81" s="11">
        <f>VLOOKUP(CJ81,$A$81:$I$88,9,FALSE)</f>
        <v>-2</v>
      </c>
      <c r="CM81" s="11">
        <f>VLOOKUP(CJ81,$A$81:$I$88,7,FALSE)</f>
        <v>4</v>
      </c>
      <c r="CO81" s="10">
        <f>IF(CO82=7,IF(AND(CK81=CK82,CL81=CL82,CM81=CM82),CO82+1,CO82),0)</f>
        <v>0</v>
      </c>
    </row>
    <row r="82" spans="1:93">
      <c r="A82" s="40" t="str">
        <f>Tabela!N19</f>
        <v>Irã</v>
      </c>
      <c r="B82" s="41">
        <f>Tabela!O19</f>
        <v>0</v>
      </c>
      <c r="C82" s="41">
        <f>Tabela!P19</f>
        <v>3</v>
      </c>
      <c r="D82" s="41">
        <f>Tabela!Q19</f>
        <v>0</v>
      </c>
      <c r="E82" s="41">
        <f>Tabela!R19</f>
        <v>0</v>
      </c>
      <c r="F82" s="41">
        <f>Tabela!S19</f>
        <v>3</v>
      </c>
      <c r="G82" s="41">
        <f>Tabela!T19</f>
        <v>0</v>
      </c>
      <c r="H82" s="41">
        <f>Tabela!U19</f>
        <v>7</v>
      </c>
      <c r="I82" s="41">
        <f>Tabela!V19</f>
        <v>-7</v>
      </c>
      <c r="K82" s="11" t="str">
        <f>IF(B82&lt;=B81,A82,A81)</f>
        <v>Irã</v>
      </c>
      <c r="L82" s="11">
        <f t="shared" ref="L82:L88" si="48">VLOOKUP(K82,$A$81:$I$88,2,FALSE)</f>
        <v>0</v>
      </c>
      <c r="N82" s="11" t="str">
        <f>IF(L82&gt;=L84,K82,K84)</f>
        <v>Irã</v>
      </c>
      <c r="O82" s="11">
        <f t="shared" ref="O82:O88" si="49">VLOOKUP(N82,$A$81:$I$88,2,FALSE)</f>
        <v>0</v>
      </c>
      <c r="Q82" s="11" t="str">
        <f>IF(O82&gt;=O83,N82,N83)</f>
        <v>Irã</v>
      </c>
      <c r="R82" s="11">
        <f t="shared" ref="R82:R88" si="50">VLOOKUP(Q82,$A$81:$I$88,2,FALSE)</f>
        <v>0</v>
      </c>
      <c r="U82" s="11" t="str">
        <f>IF(R82&gt;=R86,Q82,Q86)</f>
        <v>Marrocos</v>
      </c>
      <c r="V82" s="11">
        <f t="shared" ref="V82:V88" si="51">VLOOKUP(U82,$A$81:$I$88,2,FALSE)</f>
        <v>1</v>
      </c>
      <c r="X82" s="11" t="str">
        <f>IF(V82&gt;=V85,U82,U85)</f>
        <v>Marrocos</v>
      </c>
      <c r="Y82" s="11">
        <f t="shared" ref="Y82:Y88" si="52">VLOOKUP(X82,$A$81:$I$88,2,FALSE)</f>
        <v>1</v>
      </c>
      <c r="AB82" s="11" t="str">
        <f>IF(Y82&gt;=Y88,X82,X88)</f>
        <v>Marrocos</v>
      </c>
      <c r="AC82" s="11">
        <f t="shared" ref="AC82:AC88" si="53">VLOOKUP(AB82,$A$81:$I$88,2,FALSE)</f>
        <v>1</v>
      </c>
      <c r="AF82" s="11" t="str">
        <f>IF(AC82&gt;=AC87,AB82,AB87)</f>
        <v>Marrocos</v>
      </c>
      <c r="AG82" s="11">
        <f t="shared" ref="AG82:AG88" si="54">VLOOKUP(AF82,$A$81:$I$88,2,FALSE)</f>
        <v>1</v>
      </c>
      <c r="AH82" s="11">
        <f t="shared" ref="AH82:AH88" si="55">VLOOKUP(AF82,$A$81:$I$88,9,FALSE)</f>
        <v>-2</v>
      </c>
      <c r="AJ82" s="11" t="str">
        <f>IF(AND(AG81=AG82,AH82&gt;AH81),AF81,AF82)</f>
        <v>Senegal</v>
      </c>
      <c r="AK82" s="11">
        <f t="shared" ref="AK82:AK88" si="56">VLOOKUP(AJ82,$A$81:$I$88,2,FALSE)</f>
        <v>1</v>
      </c>
      <c r="AL82" s="11">
        <f t="shared" ref="AL82:AL88" si="57">VLOOKUP(AJ82,$A$81:$I$88,9,FALSE)</f>
        <v>-3</v>
      </c>
      <c r="AN82" s="11" t="str">
        <f>IF(AND(AK82=AK84,AL84&gt;AL82),AJ84,AJ82)</f>
        <v>Senegal</v>
      </c>
      <c r="AO82" s="11">
        <f t="shared" ref="AO82:AO88" si="58">VLOOKUP(AN82,$A$81:$I$88,2,FALSE)</f>
        <v>1</v>
      </c>
      <c r="AP82" s="11">
        <f t="shared" ref="AP82:AP88" si="59">VLOOKUP(AN82,$A$81:$I$88,9,FALSE)</f>
        <v>-3</v>
      </c>
      <c r="AR82" s="11" t="str">
        <f>IF(AND(AO82=AO83,AP83&gt;AP82),AN83,AN82)</f>
        <v>Senegal</v>
      </c>
      <c r="AS82" s="11">
        <f t="shared" ref="AS82:AS88" si="60">VLOOKUP(AR82,$A$81:$I$88,2,FALSE)</f>
        <v>1</v>
      </c>
      <c r="AT82" s="11">
        <f t="shared" ref="AT82:AT88" si="61">VLOOKUP(AR82,$A$81:$I$88,9,FALSE)</f>
        <v>-3</v>
      </c>
      <c r="AV82" s="11" t="str">
        <f t="shared" ref="AV82:AV84" si="62">IF(AND(AS82=AS86,AT86&gt;AT82),AR86,AR82)</f>
        <v>Senegal</v>
      </c>
      <c r="AW82" s="11">
        <f t="shared" ref="AW82:AW88" si="63">VLOOKUP(AV82,$A$81:$I$88,2,FALSE)</f>
        <v>1</v>
      </c>
      <c r="AX82" s="11">
        <f t="shared" ref="AX82:AX88" si="64">VLOOKUP(AV82,$A$81:$I$88,9,FALSE)</f>
        <v>-3</v>
      </c>
      <c r="AZ82" s="11" t="str">
        <f>IF(AND(AW82=AW85,AX85&gt;AX82),AV85,AV82)</f>
        <v>Senegal</v>
      </c>
      <c r="BA82" s="11">
        <f t="shared" ref="BA82:BA88" si="65">VLOOKUP(AZ82,$A$81:$I$88,2,FALSE)</f>
        <v>1</v>
      </c>
      <c r="BB82" s="11">
        <f t="shared" ref="BB82:BB88" si="66">VLOOKUP(AZ82,$A$81:$I$88,9,FALSE)</f>
        <v>-3</v>
      </c>
      <c r="BD82" s="11" t="str">
        <f>IF(AND(BA82=BA88,BB88&gt;BB82),AZ88,AZ82)</f>
        <v>Senegal</v>
      </c>
      <c r="BE82" s="11">
        <f t="shared" ref="BE82:BE88" si="67">VLOOKUP(BD82,$A$81:$I$88,2,FALSE)</f>
        <v>1</v>
      </c>
      <c r="BF82" s="11">
        <f t="shared" ref="BF82:BF88" si="68">VLOOKUP(BD82,$A$81:$I$88,9,FALSE)</f>
        <v>-3</v>
      </c>
      <c r="BH82" s="11" t="str">
        <f>IF(AND(BE82=BE87,BF87&gt;BF82),BD87,BD82)</f>
        <v>Senegal</v>
      </c>
      <c r="BI82" s="11">
        <f t="shared" ref="BI82:BI88" si="69">VLOOKUP(BH82,$A$81:$I$88,2,FALSE)</f>
        <v>1</v>
      </c>
      <c r="BJ82" s="11">
        <f t="shared" ref="BJ82:BJ88" si="70">VLOOKUP(BH82,$A$81:$I$88,9,FALSE)</f>
        <v>-3</v>
      </c>
      <c r="BK82" s="11">
        <f t="shared" ref="BK82:BK88" si="71">VLOOKUP(BH82,$A$81:$I$88,7,FALSE)</f>
        <v>2</v>
      </c>
      <c r="BL82" s="11" t="str">
        <f>IF(AND(BI82=BI81,BJ82=BJ81,BK82&gt;BK81),BH81,BH82)</f>
        <v>Senegal</v>
      </c>
      <c r="BM82" s="11">
        <f t="shared" ref="BM82:BM88" si="72">VLOOKUP(BL82,$A$81:$I$88,2,FALSE)</f>
        <v>1</v>
      </c>
      <c r="BN82" s="11">
        <f t="shared" ref="BN82:BN88" si="73">VLOOKUP(BL82,$A$81:$I$88,9,FALSE)</f>
        <v>-3</v>
      </c>
      <c r="BO82" s="11">
        <f t="shared" ref="BO82:BO88" si="74">VLOOKUP(BL82,$A$81:$I$88,7,FALSE)</f>
        <v>2</v>
      </c>
      <c r="BP82" s="11" t="str">
        <f>IF(AND(BM82=BM84,BN82=BN84,BO84&gt;BO82),BL84,BL82)</f>
        <v>Senegal</v>
      </c>
      <c r="BQ82" s="11">
        <f t="shared" ref="BQ82:BQ88" si="75">VLOOKUP(BP82,$A$81:$I$88,2,FALSE)</f>
        <v>1</v>
      </c>
      <c r="BR82" s="11">
        <f t="shared" ref="BR82:BR88" si="76">VLOOKUP(BP82,$A$81:$I$88,9,FALSE)</f>
        <v>-3</v>
      </c>
      <c r="BS82" s="11">
        <f t="shared" ref="BS82:BS88" si="77">VLOOKUP(BP82,$A$81:$I$88,7,FALSE)</f>
        <v>2</v>
      </c>
      <c r="BT82" s="11" t="str">
        <f>IF(AND(BQ82=BQ83,BR82=BR83,BS83&gt;BS82),BP83,BP82)</f>
        <v>Sérvia</v>
      </c>
      <c r="BU82" s="11">
        <f t="shared" ref="BU82:BU88" si="78">VLOOKUP(BT82,$A$81:$I$88,2,FALSE)</f>
        <v>1</v>
      </c>
      <c r="BV82" s="11">
        <f t="shared" ref="BV82:BV88" si="79">VLOOKUP(BT82,$A$81:$I$88,9,FALSE)</f>
        <v>-3</v>
      </c>
      <c r="BW82" s="11">
        <f t="shared" ref="BW82:BW88" si="80">VLOOKUP(BT82,$A$81:$I$88,7,FALSE)</f>
        <v>3</v>
      </c>
      <c r="BX82" s="11" t="str">
        <f t="shared" ref="BX82:BX84" si="81">IF(AND(BU82=BU86,BV82=BV86,BW86&gt;BW82),BT86,BT82)</f>
        <v>Sérvia</v>
      </c>
      <c r="BY82" s="11">
        <f t="shared" ref="BY82:BY88" si="82">VLOOKUP(BX82,$A$81:$I$88,2,FALSE)</f>
        <v>1</v>
      </c>
      <c r="BZ82" s="11">
        <f t="shared" ref="BZ82:BZ88" si="83">VLOOKUP(BX82,$A$81:$I$88,9,FALSE)</f>
        <v>-3</v>
      </c>
      <c r="CA82" s="11">
        <f t="shared" ref="CA82:CA88" si="84">VLOOKUP(BX82,$A$81:$I$88,7,FALSE)</f>
        <v>3</v>
      </c>
      <c r="CB82" s="11" t="str">
        <f>IF(AND(BY82=BY85,BZ82=BZ85,CA85&gt;CA82),BX85,BX82)</f>
        <v>Sérvia</v>
      </c>
      <c r="CC82" s="11">
        <f t="shared" ref="CC82:CC88" si="85">VLOOKUP(CB82,$A$81:$I$88,2,FALSE)</f>
        <v>1</v>
      </c>
      <c r="CD82" s="11">
        <f t="shared" ref="CD82:CD88" si="86">VLOOKUP(CB82,$A$81:$I$88,9,FALSE)</f>
        <v>-3</v>
      </c>
      <c r="CE82" s="11">
        <f t="shared" ref="CE82:CE88" si="87">VLOOKUP(CB82,$A$81:$I$88,7,FALSE)</f>
        <v>3</v>
      </c>
      <c r="CF82" s="11" t="str">
        <f>IF(AND(CC82=CC88,CD82=CD88,CE88&gt;CE82),CB88,CB82)</f>
        <v>Sérvia</v>
      </c>
      <c r="CG82" s="11">
        <f t="shared" ref="CG82:CG88" si="88">VLOOKUP(CF82,$A$81:$I$88,2,FALSE)</f>
        <v>1</v>
      </c>
      <c r="CH82" s="11">
        <f t="shared" ref="CH82:CH88" si="89">VLOOKUP(CF82,$A$81:$I$88,9,FALSE)</f>
        <v>-3</v>
      </c>
      <c r="CI82" s="11">
        <f t="shared" ref="CI82:CI88" si="90">VLOOKUP(CF82,$A$81:$I$88,7,FALSE)</f>
        <v>3</v>
      </c>
      <c r="CJ82" s="11" t="str">
        <f>IF(AND(CG82=CG87,CH82=CH87,CI87&gt;CI82),CF87,CF82)</f>
        <v>Sérvia</v>
      </c>
      <c r="CK82" s="11">
        <f t="shared" ref="CK82:CK88" si="91">VLOOKUP(CJ82,$A$81:$I$88,2,FALSE)</f>
        <v>1</v>
      </c>
      <c r="CL82" s="11">
        <f t="shared" ref="CL82:CL88" si="92">VLOOKUP(CJ82,$A$81:$I$88,9,FALSE)</f>
        <v>-3</v>
      </c>
      <c r="CM82" s="11">
        <f t="shared" ref="CM82:CM88" si="93">VLOOKUP(CJ82,$A$81:$I$88,7,FALSE)</f>
        <v>3</v>
      </c>
      <c r="CO82" s="10">
        <f>IF(CO83=6,IF(AND(CK82=CK83,CL82=CL83,CM82=CM83),CO83+1,CO83),0)</f>
        <v>0</v>
      </c>
    </row>
    <row r="83" spans="1:93">
      <c r="A83" s="40" t="str">
        <f>Tabela!N27</f>
        <v>Arábia Saudita</v>
      </c>
      <c r="B83" s="41">
        <f>Tabela!O27</f>
        <v>0</v>
      </c>
      <c r="C83" s="41">
        <f>Tabela!P27</f>
        <v>3</v>
      </c>
      <c r="D83" s="41">
        <f>Tabela!Q27</f>
        <v>0</v>
      </c>
      <c r="E83" s="41">
        <f>Tabela!R27</f>
        <v>0</v>
      </c>
      <c r="F83" s="41">
        <f>Tabela!S27</f>
        <v>3</v>
      </c>
      <c r="G83" s="41">
        <f>Tabela!T27</f>
        <v>1</v>
      </c>
      <c r="H83" s="41">
        <f>Tabela!U27</f>
        <v>6</v>
      </c>
      <c r="I83" s="41">
        <f>Tabela!V27</f>
        <v>-5</v>
      </c>
      <c r="K83" s="11" t="str">
        <f>IF(B83&gt;=B84,A83,A84)</f>
        <v>Arábia Saudita</v>
      </c>
      <c r="L83" s="11">
        <f t="shared" si="48"/>
        <v>0</v>
      </c>
      <c r="N83" s="11" t="str">
        <f>IF(L83&lt;=L81,K83,K81)</f>
        <v>Arábia Saudita</v>
      </c>
      <c r="O83" s="11">
        <f t="shared" si="49"/>
        <v>0</v>
      </c>
      <c r="Q83" s="11" t="str">
        <f>IF(O83&lt;=O82,N83,N82)</f>
        <v>Arábia Saudita</v>
      </c>
      <c r="R83" s="11">
        <f t="shared" si="50"/>
        <v>0</v>
      </c>
      <c r="U83" s="11" t="str">
        <f>IF(R83&gt;=R87,Q83,Q87)</f>
        <v>Sérvia</v>
      </c>
      <c r="V83" s="11">
        <f t="shared" si="51"/>
        <v>1</v>
      </c>
      <c r="X83" s="11" t="str">
        <f>IF(V83&gt;=V88,U83,U88)</f>
        <v>Sérvia</v>
      </c>
      <c r="Y83" s="11">
        <f t="shared" si="52"/>
        <v>1</v>
      </c>
      <c r="AB83" s="11" t="str">
        <f>IF(Y83&gt;=Y85,X83,X85)</f>
        <v>Sérvia</v>
      </c>
      <c r="AC83" s="11">
        <f t="shared" si="53"/>
        <v>1</v>
      </c>
      <c r="AF83" s="11" t="str">
        <f>IF(AC83&gt;=AC86,AB83,AB86)</f>
        <v>Sérvia</v>
      </c>
      <c r="AG83" s="11">
        <f t="shared" si="54"/>
        <v>1</v>
      </c>
      <c r="AH83" s="11">
        <f t="shared" si="55"/>
        <v>-3</v>
      </c>
      <c r="AJ83" s="11" t="str">
        <f>IF(AND(AG83=AG84,AH84&gt;AH83),AF84,AF83)</f>
        <v>Sérvia</v>
      </c>
      <c r="AK83" s="11">
        <f t="shared" si="56"/>
        <v>1</v>
      </c>
      <c r="AL83" s="11">
        <f t="shared" si="57"/>
        <v>-3</v>
      </c>
      <c r="AN83" s="11" t="str">
        <f>IF(AND(AK81=AK83,AL83&gt;AL81),AJ81,AJ83)</f>
        <v>Sérvia</v>
      </c>
      <c r="AO83" s="11">
        <f t="shared" si="58"/>
        <v>1</v>
      </c>
      <c r="AP83" s="11">
        <f t="shared" si="59"/>
        <v>-3</v>
      </c>
      <c r="AR83" s="11" t="str">
        <f>IF(AND(AO82=AO83,AP83&gt;AP82),AN82,AN83)</f>
        <v>Sérvia</v>
      </c>
      <c r="AS83" s="11">
        <f t="shared" si="60"/>
        <v>1</v>
      </c>
      <c r="AT83" s="11">
        <f t="shared" si="61"/>
        <v>-3</v>
      </c>
      <c r="AV83" s="11" t="str">
        <f t="shared" si="62"/>
        <v>Sérvia</v>
      </c>
      <c r="AW83" s="11">
        <f t="shared" si="63"/>
        <v>1</v>
      </c>
      <c r="AX83" s="11">
        <f t="shared" si="64"/>
        <v>-3</v>
      </c>
      <c r="AZ83" s="11" t="str">
        <f>IF(AND(AW83=AW88,AX88&gt;AX83),AV88,AV83)</f>
        <v>Sérvia</v>
      </c>
      <c r="BA83" s="11">
        <f t="shared" si="65"/>
        <v>1</v>
      </c>
      <c r="BB83" s="11">
        <f t="shared" si="66"/>
        <v>-3</v>
      </c>
      <c r="BD83" s="11" t="str">
        <f>IF(AND(BA83=BA85,BB85&gt;BB83),AZ85,AZ83)</f>
        <v>Sérvia</v>
      </c>
      <c r="BE83" s="11">
        <f t="shared" si="67"/>
        <v>1</v>
      </c>
      <c r="BF83" s="11">
        <f t="shared" si="68"/>
        <v>-3</v>
      </c>
      <c r="BH83" s="11" t="str">
        <f>IF(AND(BE83=BE86,BF86&gt;BF83),BD86,BD83)</f>
        <v>Sérvia</v>
      </c>
      <c r="BI83" s="11">
        <f t="shared" si="69"/>
        <v>1</v>
      </c>
      <c r="BJ83" s="11">
        <f t="shared" si="70"/>
        <v>-3</v>
      </c>
      <c r="BK83" s="11">
        <f t="shared" si="71"/>
        <v>3</v>
      </c>
      <c r="BL83" s="11" t="str">
        <f>IF(AND(BI83=BI84,BJ83=BJ84,BK84&gt;BK83),BH84,BH83)</f>
        <v>Sérvia</v>
      </c>
      <c r="BM83" s="11">
        <f t="shared" si="72"/>
        <v>1</v>
      </c>
      <c r="BN83" s="11">
        <f t="shared" si="73"/>
        <v>-3</v>
      </c>
      <c r="BO83" s="11">
        <f t="shared" si="74"/>
        <v>3</v>
      </c>
      <c r="BP83" s="11" t="str">
        <f>IF(AND(BM81=BM83,BN81=BN83,BO83&gt;BO81),BL81,BL83)</f>
        <v>Sérvia</v>
      </c>
      <c r="BQ83" s="11">
        <f t="shared" si="75"/>
        <v>1</v>
      </c>
      <c r="BR83" s="11">
        <f t="shared" si="76"/>
        <v>-3</v>
      </c>
      <c r="BS83" s="11">
        <f t="shared" si="77"/>
        <v>3</v>
      </c>
      <c r="BT83" s="11" t="str">
        <f>IF(AND(BQ82=BQ83,BR82=BR83,BS83&gt;BS82),BP82,BP83)</f>
        <v>Senegal</v>
      </c>
      <c r="BU83" s="11">
        <f t="shared" si="78"/>
        <v>1</v>
      </c>
      <c r="BV83" s="11">
        <f t="shared" si="79"/>
        <v>-3</v>
      </c>
      <c r="BW83" s="11">
        <f t="shared" si="80"/>
        <v>2</v>
      </c>
      <c r="BX83" s="11" t="str">
        <f t="shared" si="81"/>
        <v>Senegal</v>
      </c>
      <c r="BY83" s="11">
        <f t="shared" si="82"/>
        <v>1</v>
      </c>
      <c r="BZ83" s="11">
        <f t="shared" si="83"/>
        <v>-3</v>
      </c>
      <c r="CA83" s="11">
        <f t="shared" si="84"/>
        <v>2</v>
      </c>
      <c r="CB83" s="11" t="str">
        <f>IF(AND(BY83=BY88,BZ83=BZ88,CA88&gt;CA83),BX88,BX83)</f>
        <v>Senegal</v>
      </c>
      <c r="CC83" s="11">
        <f t="shared" si="85"/>
        <v>1</v>
      </c>
      <c r="CD83" s="11">
        <f t="shared" si="86"/>
        <v>-3</v>
      </c>
      <c r="CE83" s="11">
        <f t="shared" si="87"/>
        <v>2</v>
      </c>
      <c r="CF83" s="11" t="str">
        <f>IF(AND(CC83=CC85,CD83=CD85,CE85&gt;CE83),CB85,CB83)</f>
        <v>Senegal</v>
      </c>
      <c r="CG83" s="11">
        <f t="shared" si="88"/>
        <v>1</v>
      </c>
      <c r="CH83" s="11">
        <f t="shared" si="89"/>
        <v>-3</v>
      </c>
      <c r="CI83" s="11">
        <f t="shared" si="90"/>
        <v>2</v>
      </c>
      <c r="CJ83" s="11" t="str">
        <f>IF(AND(CG83=CG86,CH83=CH86,CI86&gt;CI83),CF86,CF83)</f>
        <v>Senegal</v>
      </c>
      <c r="CK83" s="11">
        <f t="shared" si="91"/>
        <v>1</v>
      </c>
      <c r="CL83" s="11">
        <f t="shared" si="92"/>
        <v>-3</v>
      </c>
      <c r="CM83" s="11">
        <f t="shared" si="93"/>
        <v>2</v>
      </c>
      <c r="CO83" s="10">
        <f>IF(CO84=5,IF(AND(CK83=CK84,CL83=CL84,CM83=CM84),CO84+1,CO84),0)</f>
        <v>0</v>
      </c>
    </row>
    <row r="84" spans="1:93">
      <c r="A84" s="40" t="str">
        <f>Tabela!N35</f>
        <v>Austrália</v>
      </c>
      <c r="B84" s="41">
        <f>Tabela!O35</f>
        <v>0</v>
      </c>
      <c r="C84" s="41">
        <f>Tabela!P35</f>
        <v>3</v>
      </c>
      <c r="D84" s="41">
        <f>Tabela!Q35</f>
        <v>0</v>
      </c>
      <c r="E84" s="41">
        <f>Tabela!R35</f>
        <v>0</v>
      </c>
      <c r="F84" s="41">
        <f>Tabela!S35</f>
        <v>3</v>
      </c>
      <c r="G84" s="41">
        <f>Tabela!T35</f>
        <v>1</v>
      </c>
      <c r="H84" s="41">
        <f>Tabela!U35</f>
        <v>9</v>
      </c>
      <c r="I84" s="41">
        <f>Tabela!V35</f>
        <v>-8</v>
      </c>
      <c r="K84" s="11" t="str">
        <f>IF(B84&lt;=B83,A84,A83)</f>
        <v>Austrália</v>
      </c>
      <c r="L84" s="11">
        <f t="shared" si="48"/>
        <v>0</v>
      </c>
      <c r="N84" s="11" t="str">
        <f>IF(L84&lt;=L82,K84,K82)</f>
        <v>Austrália</v>
      </c>
      <c r="O84" s="11">
        <f t="shared" si="49"/>
        <v>0</v>
      </c>
      <c r="Q84" s="11" t="str">
        <f>IF(O84&lt;=O81,N84,N81)</f>
        <v>Austrália</v>
      </c>
      <c r="R84" s="11">
        <f t="shared" si="50"/>
        <v>0</v>
      </c>
      <c r="U84" s="11" t="str">
        <f>IF(R84&gt;=R88,Q84,Q88)</f>
        <v>Austrália</v>
      </c>
      <c r="V84" s="11">
        <f t="shared" si="51"/>
        <v>0</v>
      </c>
      <c r="X84" s="11" t="str">
        <f>IF(V84&gt;=V87,U84,U87)</f>
        <v>Austrália</v>
      </c>
      <c r="Y84" s="11">
        <f t="shared" si="52"/>
        <v>0</v>
      </c>
      <c r="AB84" s="11" t="str">
        <f>IF(Y84&gt;=Y86,X84,X86)</f>
        <v>Austrália</v>
      </c>
      <c r="AC84" s="11">
        <f t="shared" si="53"/>
        <v>0</v>
      </c>
      <c r="AF84" s="11" t="str">
        <f>IF(AC84&gt;=AC85,AB84,AB85)</f>
        <v>Japão</v>
      </c>
      <c r="AG84" s="11">
        <f t="shared" si="54"/>
        <v>1</v>
      </c>
      <c r="AH84" s="11">
        <f t="shared" si="55"/>
        <v>-8</v>
      </c>
      <c r="AJ84" s="11" t="str">
        <f>IF(AND(AG83=AG84,AH84&gt;AH83),AF83,AF84)</f>
        <v>Japão</v>
      </c>
      <c r="AK84" s="11">
        <f t="shared" si="56"/>
        <v>1</v>
      </c>
      <c r="AL84" s="11">
        <f t="shared" si="57"/>
        <v>-8</v>
      </c>
      <c r="AN84" s="11" t="str">
        <f>IF(AND(AK82=AK84,AL84&gt;AL82),AJ82,AJ84)</f>
        <v>Japão</v>
      </c>
      <c r="AO84" s="11">
        <f t="shared" si="58"/>
        <v>1</v>
      </c>
      <c r="AP84" s="11">
        <f t="shared" si="59"/>
        <v>-8</v>
      </c>
      <c r="AR84" s="11" t="str">
        <f>IF(AND(AO81=AO84,AP84&gt;AP81),AN81,AN84)</f>
        <v>Japão</v>
      </c>
      <c r="AS84" s="11">
        <f t="shared" si="60"/>
        <v>1</v>
      </c>
      <c r="AT84" s="11">
        <f t="shared" si="61"/>
        <v>-8</v>
      </c>
      <c r="AV84" s="11" t="str">
        <f t="shared" si="62"/>
        <v>Japão</v>
      </c>
      <c r="AW84" s="11">
        <f t="shared" si="63"/>
        <v>1</v>
      </c>
      <c r="AX84" s="11">
        <f t="shared" si="64"/>
        <v>-8</v>
      </c>
      <c r="AZ84" s="11" t="str">
        <f>IF(AND(AW84=AW87,AX87&gt;AX84),AV87,AV84)</f>
        <v>Japão</v>
      </c>
      <c r="BA84" s="11">
        <f t="shared" si="65"/>
        <v>1</v>
      </c>
      <c r="BB84" s="11">
        <f t="shared" si="66"/>
        <v>-8</v>
      </c>
      <c r="BD84" s="11" t="str">
        <f>IF(AND(BA84=BA86,BB86&gt;BB84),AZ86,AZ84)</f>
        <v>Japão</v>
      </c>
      <c r="BE84" s="11">
        <f t="shared" si="67"/>
        <v>1</v>
      </c>
      <c r="BF84" s="11">
        <f t="shared" si="68"/>
        <v>-8</v>
      </c>
      <c r="BH84" s="11" t="str">
        <f>IF(AND(BE84=BE85,BF85&gt;BF84),BD85,BD84)</f>
        <v>Japão</v>
      </c>
      <c r="BI84" s="11">
        <f t="shared" si="69"/>
        <v>1</v>
      </c>
      <c r="BJ84" s="11">
        <f t="shared" si="70"/>
        <v>-8</v>
      </c>
      <c r="BK84" s="11">
        <f t="shared" si="71"/>
        <v>2</v>
      </c>
      <c r="BL84" s="11" t="str">
        <f>IF(AND(BI84=BI83,BJ84=BJ83,BK84&gt;BK83),BH83,BH84)</f>
        <v>Japão</v>
      </c>
      <c r="BM84" s="11">
        <f t="shared" si="72"/>
        <v>1</v>
      </c>
      <c r="BN84" s="11">
        <f t="shared" si="73"/>
        <v>-8</v>
      </c>
      <c r="BO84" s="11">
        <f t="shared" si="74"/>
        <v>2</v>
      </c>
      <c r="BP84" s="11" t="str">
        <f>IF(AND(BM82=BM84,BN82=BN84,BO84&gt;BO82),BL82,BL84)</f>
        <v>Japão</v>
      </c>
      <c r="BQ84" s="11">
        <f t="shared" si="75"/>
        <v>1</v>
      </c>
      <c r="BR84" s="11">
        <f t="shared" si="76"/>
        <v>-8</v>
      </c>
      <c r="BS84" s="11">
        <f t="shared" si="77"/>
        <v>2</v>
      </c>
      <c r="BT84" s="11" t="str">
        <f>IF(AND(BQ81=BQ84,BR81=BR84,BS84&gt;BS81),BP81,BP84)</f>
        <v>Japão</v>
      </c>
      <c r="BU84" s="11">
        <f t="shared" si="78"/>
        <v>1</v>
      </c>
      <c r="BV84" s="11">
        <f t="shared" si="79"/>
        <v>-8</v>
      </c>
      <c r="BW84" s="11">
        <f t="shared" si="80"/>
        <v>2</v>
      </c>
      <c r="BX84" s="11" t="str">
        <f t="shared" si="81"/>
        <v>Japão</v>
      </c>
      <c r="BY84" s="11">
        <f t="shared" si="82"/>
        <v>1</v>
      </c>
      <c r="BZ84" s="11">
        <f t="shared" si="83"/>
        <v>-8</v>
      </c>
      <c r="CA84" s="11">
        <f t="shared" si="84"/>
        <v>2</v>
      </c>
      <c r="CB84" s="11" t="str">
        <f>IF(AND(BY84=BY87,BZ84=BZ87,CA87&gt;CA84),BX87,BX84)</f>
        <v>Japão</v>
      </c>
      <c r="CC84" s="11">
        <f t="shared" si="85"/>
        <v>1</v>
      </c>
      <c r="CD84" s="11">
        <f t="shared" si="86"/>
        <v>-8</v>
      </c>
      <c r="CE84" s="11">
        <f t="shared" si="87"/>
        <v>2</v>
      </c>
      <c r="CF84" s="11" t="str">
        <f>IF(AND(CC84=CC86,CD84=CD86,CE86&gt;CE84),CB86,CB84)</f>
        <v>Japão</v>
      </c>
      <c r="CG84" s="11">
        <f t="shared" si="88"/>
        <v>1</v>
      </c>
      <c r="CH84" s="11">
        <f t="shared" si="89"/>
        <v>-8</v>
      </c>
      <c r="CI84" s="11">
        <f t="shared" si="90"/>
        <v>2</v>
      </c>
      <c r="CJ84" s="11" t="str">
        <f>IF(AND(CG84=CG85,CH84=CH85,CI85&gt;CI84),CF85,CF84)</f>
        <v>Japão</v>
      </c>
      <c r="CK84" s="11">
        <f t="shared" si="91"/>
        <v>1</v>
      </c>
      <c r="CL84" s="11">
        <f t="shared" si="92"/>
        <v>-8</v>
      </c>
      <c r="CM84" s="11">
        <f t="shared" si="93"/>
        <v>2</v>
      </c>
      <c r="CO84" s="10">
        <f>IF(CO85=4,IF(AND(CK84=CK85,CL84=CL85,CM84=CM85),CO85+1,CO85),0)</f>
        <v>0</v>
      </c>
    </row>
    <row r="85" spans="1:93">
      <c r="A85" s="40" t="str">
        <f>Tabela!N43</f>
        <v>Japão</v>
      </c>
      <c r="B85" s="41">
        <f>Tabela!O43</f>
        <v>1</v>
      </c>
      <c r="C85" s="41">
        <f>Tabela!P43</f>
        <v>3</v>
      </c>
      <c r="D85" s="41">
        <f>Tabela!Q43</f>
        <v>0</v>
      </c>
      <c r="E85" s="41">
        <f>Tabela!R43</f>
        <v>1</v>
      </c>
      <c r="F85" s="41">
        <f>Tabela!S43</f>
        <v>2</v>
      </c>
      <c r="G85" s="41">
        <f>Tabela!T43</f>
        <v>2</v>
      </c>
      <c r="H85" s="41">
        <f>Tabela!U43</f>
        <v>10</v>
      </c>
      <c r="I85" s="41">
        <f>Tabela!V43</f>
        <v>-8</v>
      </c>
      <c r="K85" s="11" t="str">
        <f>IF(B85&gt;=B86,A85,A86)</f>
        <v>Japão</v>
      </c>
      <c r="L85" s="11">
        <f t="shared" si="48"/>
        <v>1</v>
      </c>
      <c r="N85" s="11" t="str">
        <f>IF(L85&gt;=L87,K85,K87)</f>
        <v>Japão</v>
      </c>
      <c r="O85" s="11">
        <f t="shared" si="49"/>
        <v>1</v>
      </c>
      <c r="Q85" s="11" t="str">
        <f>IF(O85&gt;=O88,N85,N88)</f>
        <v>Japão</v>
      </c>
      <c r="R85" s="11">
        <f t="shared" si="50"/>
        <v>1</v>
      </c>
      <c r="U85" s="11" t="str">
        <f>IF(R81&gt;=R85,Q85,Q81)</f>
        <v>Japão</v>
      </c>
      <c r="V85" s="11">
        <f t="shared" si="51"/>
        <v>1</v>
      </c>
      <c r="X85" s="11" t="str">
        <f>IF(V82&gt;=V85,U85,U82)</f>
        <v>Japão</v>
      </c>
      <c r="Y85" s="11">
        <f t="shared" si="52"/>
        <v>1</v>
      </c>
      <c r="AB85" s="11" t="str">
        <f>IF(Y83&gt;=Y85,X85,X83)</f>
        <v>Japão</v>
      </c>
      <c r="AC85" s="11">
        <f t="shared" si="53"/>
        <v>1</v>
      </c>
      <c r="AF85" s="11" t="str">
        <f>IF(AC84&gt;=AC85,AB85,AB84)</f>
        <v>Austrália</v>
      </c>
      <c r="AG85" s="11">
        <f t="shared" si="54"/>
        <v>0</v>
      </c>
      <c r="AH85" s="11">
        <f t="shared" si="55"/>
        <v>-8</v>
      </c>
      <c r="AJ85" s="11" t="str">
        <f>IF(AND(AG85=AG86,AH86&gt;AH85),AF86,AF85)</f>
        <v>Irã</v>
      </c>
      <c r="AK85" s="11">
        <f t="shared" si="56"/>
        <v>0</v>
      </c>
      <c r="AL85" s="11">
        <f t="shared" si="57"/>
        <v>-7</v>
      </c>
      <c r="AN85" s="11" t="str">
        <f>IF(AND(AK85=AK87,AL87&gt;AL85),AJ87,AJ85)</f>
        <v>Arábia Saudita</v>
      </c>
      <c r="AO85" s="11">
        <f t="shared" si="58"/>
        <v>0</v>
      </c>
      <c r="AP85" s="11">
        <f t="shared" si="59"/>
        <v>-5</v>
      </c>
      <c r="AR85" s="11" t="str">
        <f>IF(AND(AO85=AO88,AP88&gt;AP85),AN88,AN85)</f>
        <v>Arábia Saudita</v>
      </c>
      <c r="AS85" s="11">
        <f t="shared" si="60"/>
        <v>0</v>
      </c>
      <c r="AT85" s="11">
        <f t="shared" si="61"/>
        <v>-5</v>
      </c>
      <c r="AV85" s="11" t="str">
        <f>IF(AND(AS81=AS85,AT85&gt;AT81),AR81,AR85)</f>
        <v>Arábia Saudita</v>
      </c>
      <c r="AW85" s="11">
        <f t="shared" si="63"/>
        <v>0</v>
      </c>
      <c r="AX85" s="11">
        <f t="shared" si="64"/>
        <v>-5</v>
      </c>
      <c r="AZ85" s="11" t="str">
        <f>IF(AND(AW82=AW85,AX85&gt;AX82),AV82,AV85)</f>
        <v>Arábia Saudita</v>
      </c>
      <c r="BA85" s="11">
        <f t="shared" si="65"/>
        <v>0</v>
      </c>
      <c r="BB85" s="11">
        <f t="shared" si="66"/>
        <v>-5</v>
      </c>
      <c r="BD85" s="11" t="str">
        <f>IF(AND(BA83=BA85,BB85&gt;BB83),AZ83,AZ85)</f>
        <v>Arábia Saudita</v>
      </c>
      <c r="BE85" s="11">
        <f t="shared" si="67"/>
        <v>0</v>
      </c>
      <c r="BF85" s="11">
        <f t="shared" si="68"/>
        <v>-5</v>
      </c>
      <c r="BH85" s="11" t="str">
        <f>IF(AND(BE84=BE85,BF85&gt;BF84),BD84,BD85)</f>
        <v>Arábia Saudita</v>
      </c>
      <c r="BI85" s="11">
        <f t="shared" si="69"/>
        <v>0</v>
      </c>
      <c r="BJ85" s="11">
        <f t="shared" si="70"/>
        <v>-5</v>
      </c>
      <c r="BK85" s="11">
        <f t="shared" si="71"/>
        <v>1</v>
      </c>
      <c r="BL85" s="11" t="str">
        <f>IF(AND(BI85=BI86,BJ85=BJ86,BK86&gt;BK85),BH86,BH85)</f>
        <v>Arábia Saudita</v>
      </c>
      <c r="BM85" s="11">
        <f t="shared" si="72"/>
        <v>0</v>
      </c>
      <c r="BN85" s="11">
        <f t="shared" si="73"/>
        <v>-5</v>
      </c>
      <c r="BO85" s="11">
        <f t="shared" si="74"/>
        <v>1</v>
      </c>
      <c r="BP85" s="11" t="str">
        <f>IF(AND(BM85=BM87,BN85=BN87,BO87&gt;BO85),BL87,BL85)</f>
        <v>Arábia Saudita</v>
      </c>
      <c r="BQ85" s="11">
        <f t="shared" si="75"/>
        <v>0</v>
      </c>
      <c r="BR85" s="11">
        <f t="shared" si="76"/>
        <v>-5</v>
      </c>
      <c r="BS85" s="11">
        <f t="shared" si="77"/>
        <v>1</v>
      </c>
      <c r="BT85" s="11" t="str">
        <f>IF(AND(BQ85=BQ88,BR85=BR88,BS88&gt;BS85),BP88,BP85)</f>
        <v>Arábia Saudita</v>
      </c>
      <c r="BU85" s="11">
        <f t="shared" si="78"/>
        <v>0</v>
      </c>
      <c r="BV85" s="11">
        <f t="shared" si="79"/>
        <v>-5</v>
      </c>
      <c r="BW85" s="11">
        <f t="shared" si="80"/>
        <v>1</v>
      </c>
      <c r="BX85" s="11" t="str">
        <f>IF(AND(BU81=BU85,BV81=BV85,BW85&gt;BW81),BT81,BT85)</f>
        <v>Arábia Saudita</v>
      </c>
      <c r="BY85" s="11">
        <f t="shared" si="82"/>
        <v>0</v>
      </c>
      <c r="BZ85" s="11">
        <f t="shared" si="83"/>
        <v>-5</v>
      </c>
      <c r="CA85" s="11">
        <f t="shared" si="84"/>
        <v>1</v>
      </c>
      <c r="CB85" s="11" t="str">
        <f>IF(AND(BY82=BY85,BZ82=BZ85,CA85&gt;CA82),BX82,BX85)</f>
        <v>Arábia Saudita</v>
      </c>
      <c r="CC85" s="11">
        <f t="shared" si="85"/>
        <v>0</v>
      </c>
      <c r="CD85" s="11">
        <f t="shared" si="86"/>
        <v>-5</v>
      </c>
      <c r="CE85" s="11">
        <f t="shared" si="87"/>
        <v>1</v>
      </c>
      <c r="CF85" s="11" t="str">
        <f>IF(AND(CC83=CC85,CD83=CD85,CE85&gt;CE83),CB83,CB85)</f>
        <v>Arábia Saudita</v>
      </c>
      <c r="CG85" s="11">
        <f t="shared" si="88"/>
        <v>0</v>
      </c>
      <c r="CH85" s="11">
        <f t="shared" si="89"/>
        <v>-5</v>
      </c>
      <c r="CI85" s="11">
        <f t="shared" si="90"/>
        <v>1</v>
      </c>
      <c r="CJ85" s="11" t="str">
        <f>IF(AND(CG84=CG85,CH84=CH85,CI85&gt;CI84),CF84,CF85)</f>
        <v>Arábia Saudita</v>
      </c>
      <c r="CK85" s="11">
        <f t="shared" si="91"/>
        <v>0</v>
      </c>
      <c r="CL85" s="11">
        <f t="shared" si="92"/>
        <v>-5</v>
      </c>
      <c r="CM85" s="11">
        <f t="shared" si="93"/>
        <v>1</v>
      </c>
      <c r="CO85" s="10">
        <f>IF(CO86=3,IF(AND(CK85=CK86,CL85=CL86,CM85=CM86),CO86+1,CO86),0)</f>
        <v>0</v>
      </c>
    </row>
    <row r="86" spans="1:93">
      <c r="A86" s="40" t="str">
        <f>Tabela!N51</f>
        <v>Marrocos</v>
      </c>
      <c r="B86" s="41">
        <f>Tabela!O51</f>
        <v>1</v>
      </c>
      <c r="C86" s="41">
        <f>Tabela!P51</f>
        <v>3</v>
      </c>
      <c r="D86" s="41">
        <f>Tabela!Q51</f>
        <v>0</v>
      </c>
      <c r="E86" s="41">
        <f>Tabela!R51</f>
        <v>1</v>
      </c>
      <c r="F86" s="41">
        <f>Tabela!S51</f>
        <v>2</v>
      </c>
      <c r="G86" s="41">
        <f>Tabela!T51</f>
        <v>4</v>
      </c>
      <c r="H86" s="41">
        <f>Tabela!U51</f>
        <v>6</v>
      </c>
      <c r="I86" s="41">
        <f>Tabela!V51</f>
        <v>-2</v>
      </c>
      <c r="K86" s="11" t="str">
        <f>IF(B86&lt;=B85,A86,A85)</f>
        <v>Marrocos</v>
      </c>
      <c r="L86" s="11">
        <f t="shared" si="48"/>
        <v>1</v>
      </c>
      <c r="N86" s="11" t="str">
        <f>IF(L86&gt;=L88,K86,K88)</f>
        <v>Marrocos</v>
      </c>
      <c r="O86" s="11">
        <f t="shared" si="49"/>
        <v>1</v>
      </c>
      <c r="Q86" s="11" t="str">
        <f>IF(O86&gt;=O87,N86,N87)</f>
        <v>Marrocos</v>
      </c>
      <c r="R86" s="11">
        <f t="shared" si="50"/>
        <v>1</v>
      </c>
      <c r="U86" s="11" t="str">
        <f>IF(R82&gt;=R86,Q86,Q82)</f>
        <v>Irã</v>
      </c>
      <c r="V86" s="11">
        <f t="shared" si="51"/>
        <v>0</v>
      </c>
      <c r="X86" s="11" t="str">
        <f>IF(V81&gt;=V86,U86,U81)</f>
        <v>Irã</v>
      </c>
      <c r="Y86" s="11">
        <f t="shared" si="52"/>
        <v>0</v>
      </c>
      <c r="AB86" s="11" t="str">
        <f>IF(Y84&gt;=Y86,X86,X84)</f>
        <v>Irã</v>
      </c>
      <c r="AC86" s="11">
        <f t="shared" si="53"/>
        <v>0</v>
      </c>
      <c r="AF86" s="11" t="str">
        <f>IF(AC83&gt;=AC86,AB86,AB83)</f>
        <v>Irã</v>
      </c>
      <c r="AG86" s="11">
        <f t="shared" si="54"/>
        <v>0</v>
      </c>
      <c r="AH86" s="11">
        <f t="shared" si="55"/>
        <v>-7</v>
      </c>
      <c r="AJ86" s="11" t="str">
        <f>IF(AND(AG85=AG86,AH86&gt;AH85),AF85,AF86)</f>
        <v>Austrália</v>
      </c>
      <c r="AK86" s="11">
        <f t="shared" si="56"/>
        <v>0</v>
      </c>
      <c r="AL86" s="11">
        <f t="shared" si="57"/>
        <v>-8</v>
      </c>
      <c r="AN86" s="11" t="str">
        <f>IF(AND(AK86=AK88,AL88&gt;AL86),AJ88,AJ86)</f>
        <v>Coreia do Sul</v>
      </c>
      <c r="AO86" s="11">
        <f t="shared" si="58"/>
        <v>0</v>
      </c>
      <c r="AP86" s="11">
        <f t="shared" si="59"/>
        <v>-6</v>
      </c>
      <c r="AR86" s="11" t="str">
        <f>IF(AND(AO86=AO87,AP87&gt;AP86),AN87,AN86)</f>
        <v>Coreia do Sul</v>
      </c>
      <c r="AS86" s="11">
        <f t="shared" si="60"/>
        <v>0</v>
      </c>
      <c r="AT86" s="11">
        <f t="shared" si="61"/>
        <v>-6</v>
      </c>
      <c r="AV86" s="11" t="str">
        <f t="shared" ref="AV86:AV88" si="94">IF(AND(AS82=AS86,AT86&gt;AT82),AR82,AR86)</f>
        <v>Coreia do Sul</v>
      </c>
      <c r="AW86" s="11">
        <f t="shared" si="63"/>
        <v>0</v>
      </c>
      <c r="AX86" s="11">
        <f t="shared" si="64"/>
        <v>-6</v>
      </c>
      <c r="AZ86" s="11" t="str">
        <f>IF(AND(AW81=AW86,AX86&gt;AX81),AV81,AV86)</f>
        <v>Coreia do Sul</v>
      </c>
      <c r="BA86" s="11">
        <f t="shared" si="65"/>
        <v>0</v>
      </c>
      <c r="BB86" s="11">
        <f t="shared" si="66"/>
        <v>-6</v>
      </c>
      <c r="BD86" s="11" t="str">
        <f>IF(AND(BA84=BA86,BB86&gt;BB84),AZ84,AZ86)</f>
        <v>Coreia do Sul</v>
      </c>
      <c r="BE86" s="11">
        <f t="shared" si="67"/>
        <v>0</v>
      </c>
      <c r="BF86" s="11">
        <f t="shared" si="68"/>
        <v>-6</v>
      </c>
      <c r="BH86" s="11" t="str">
        <f>IF(AND(BE83=BE86,BF86&gt;BF83),BD83,BD86)</f>
        <v>Coreia do Sul</v>
      </c>
      <c r="BI86" s="11">
        <f t="shared" si="69"/>
        <v>0</v>
      </c>
      <c r="BJ86" s="11">
        <f t="shared" si="70"/>
        <v>-6</v>
      </c>
      <c r="BK86" s="11">
        <f t="shared" si="71"/>
        <v>3</v>
      </c>
      <c r="BL86" s="11" t="str">
        <f>IF(AND(BI86=BI85,BJ86=BJ85,BK86&gt;BK85),BH85,BH86)</f>
        <v>Coreia do Sul</v>
      </c>
      <c r="BM86" s="11">
        <f t="shared" si="72"/>
        <v>0</v>
      </c>
      <c r="BN86" s="11">
        <f t="shared" si="73"/>
        <v>-6</v>
      </c>
      <c r="BO86" s="11">
        <f t="shared" si="74"/>
        <v>3</v>
      </c>
      <c r="BP86" s="11" t="str">
        <f>IF(AND(BM86=BM88,BN86=BN88,BO88&gt;BO86),BL88,BL86)</f>
        <v>Coreia do Sul</v>
      </c>
      <c r="BQ86" s="11">
        <f t="shared" si="75"/>
        <v>0</v>
      </c>
      <c r="BR86" s="11">
        <f t="shared" si="76"/>
        <v>-6</v>
      </c>
      <c r="BS86" s="11">
        <f t="shared" si="77"/>
        <v>3</v>
      </c>
      <c r="BT86" s="11" t="str">
        <f>IF(AND(BQ86=BQ87,BR86=BR87,BS87&gt;BS86),BP87,BP86)</f>
        <v>Coreia do Sul</v>
      </c>
      <c r="BU86" s="11">
        <f t="shared" si="78"/>
        <v>0</v>
      </c>
      <c r="BV86" s="11">
        <f t="shared" si="79"/>
        <v>-6</v>
      </c>
      <c r="BW86" s="11">
        <f t="shared" si="80"/>
        <v>3</v>
      </c>
      <c r="BX86" s="11" t="str">
        <f t="shared" ref="BX86:BX88" si="95">IF(AND(BU82=BU86,BV82=BV86,BW86&gt;BW82),BT82,BT86)</f>
        <v>Coreia do Sul</v>
      </c>
      <c r="BY86" s="11">
        <f t="shared" si="82"/>
        <v>0</v>
      </c>
      <c r="BZ86" s="11">
        <f t="shared" si="83"/>
        <v>-6</v>
      </c>
      <c r="CA86" s="11">
        <f t="shared" si="84"/>
        <v>3</v>
      </c>
      <c r="CB86" s="11" t="str">
        <f>IF(AND(BY81=BY86,BZ81=BZ86,CA86&gt;CA81),BX81,BX86)</f>
        <v>Coreia do Sul</v>
      </c>
      <c r="CC86" s="11">
        <f t="shared" si="85"/>
        <v>0</v>
      </c>
      <c r="CD86" s="11">
        <f t="shared" si="86"/>
        <v>-6</v>
      </c>
      <c r="CE86" s="11">
        <f t="shared" si="87"/>
        <v>3</v>
      </c>
      <c r="CF86" s="11" t="str">
        <f>IF(AND(CC84=CC86,CD84=CD86,CE86&gt;CE84),CB84,CB86)</f>
        <v>Coreia do Sul</v>
      </c>
      <c r="CG86" s="11">
        <f t="shared" si="88"/>
        <v>0</v>
      </c>
      <c r="CH86" s="11">
        <f t="shared" si="89"/>
        <v>-6</v>
      </c>
      <c r="CI86" s="11">
        <f t="shared" si="90"/>
        <v>3</v>
      </c>
      <c r="CJ86" s="11" t="str">
        <f>IF(AND(CG83=CG86,CH83=CH86,CI86&gt;CI83),CF83,CF86)</f>
        <v>Coreia do Sul</v>
      </c>
      <c r="CK86" s="11">
        <f t="shared" si="91"/>
        <v>0</v>
      </c>
      <c r="CL86" s="11">
        <f t="shared" si="92"/>
        <v>-6</v>
      </c>
      <c r="CM86" s="11">
        <f t="shared" si="93"/>
        <v>3</v>
      </c>
      <c r="CO86" s="10">
        <f>IF(CO87=2,IF(AND(CK86=CK87,CL86=CL87,CM86=CM87),CO87+1,CO87),0)</f>
        <v>0</v>
      </c>
    </row>
    <row r="87" spans="1:93">
      <c r="A87" s="40" t="str">
        <f>Tabela!N59</f>
        <v>Sérvia</v>
      </c>
      <c r="B87" s="41">
        <f>Tabela!O59</f>
        <v>1</v>
      </c>
      <c r="C87" s="41">
        <f>Tabela!P59</f>
        <v>3</v>
      </c>
      <c r="D87" s="41">
        <f>Tabela!Q59</f>
        <v>0</v>
      </c>
      <c r="E87" s="41">
        <f>Tabela!R59</f>
        <v>1</v>
      </c>
      <c r="F87" s="41">
        <f>Tabela!S59</f>
        <v>2</v>
      </c>
      <c r="G87" s="41">
        <f>Tabela!T59</f>
        <v>3</v>
      </c>
      <c r="H87" s="41">
        <f>Tabela!U59</f>
        <v>6</v>
      </c>
      <c r="I87" s="41">
        <f>Tabela!V59</f>
        <v>-3</v>
      </c>
      <c r="K87" s="11" t="str">
        <f>IF(B87&gt;=B88,A87,A88)</f>
        <v>Sérvia</v>
      </c>
      <c r="L87" s="11">
        <f t="shared" si="48"/>
        <v>1</v>
      </c>
      <c r="N87" s="11" t="str">
        <f>IF(L87&lt;=L85,K87,K85)</f>
        <v>Sérvia</v>
      </c>
      <c r="O87" s="11">
        <f t="shared" si="49"/>
        <v>1</v>
      </c>
      <c r="Q87" s="11" t="str">
        <f>IF(O87&lt;=O86,N87,N86)</f>
        <v>Sérvia</v>
      </c>
      <c r="R87" s="11">
        <f t="shared" si="50"/>
        <v>1</v>
      </c>
      <c r="U87" s="11" t="str">
        <f>IF(R83&gt;=R87,Q87,Q83)</f>
        <v>Arábia Saudita</v>
      </c>
      <c r="V87" s="11">
        <f t="shared" si="51"/>
        <v>0</v>
      </c>
      <c r="X87" s="11" t="str">
        <f>IF(V84&gt;=V87,U87,U84)</f>
        <v>Arábia Saudita</v>
      </c>
      <c r="Y87" s="11">
        <f t="shared" si="52"/>
        <v>0</v>
      </c>
      <c r="AB87" s="11" t="str">
        <f>IF(Y81&gt;=Y87,X87,X87)</f>
        <v>Arábia Saudita</v>
      </c>
      <c r="AC87" s="11">
        <f t="shared" si="53"/>
        <v>0</v>
      </c>
      <c r="AF87" s="11" t="str">
        <f>IF(AC82&gt;=AC87,AB87,AB82)</f>
        <v>Arábia Saudita</v>
      </c>
      <c r="AG87" s="11">
        <f t="shared" si="54"/>
        <v>0</v>
      </c>
      <c r="AH87" s="11">
        <f t="shared" si="55"/>
        <v>-5</v>
      </c>
      <c r="AJ87" s="11" t="str">
        <f>IF(AND(AG87=AG88,AH88&gt;AH87),AF88,AF87)</f>
        <v>Arábia Saudita</v>
      </c>
      <c r="AK87" s="11">
        <f t="shared" si="56"/>
        <v>0</v>
      </c>
      <c r="AL87" s="11">
        <f t="shared" si="57"/>
        <v>-5</v>
      </c>
      <c r="AN87" s="11" t="str">
        <f>IF(AND(AK85=AK87,AL87&gt;AL85),AJ85,AJ87)</f>
        <v>Irã</v>
      </c>
      <c r="AO87" s="11">
        <f t="shared" si="58"/>
        <v>0</v>
      </c>
      <c r="AP87" s="11">
        <f t="shared" si="59"/>
        <v>-7</v>
      </c>
      <c r="AR87" s="11" t="str">
        <f>IF(AND(AO86=AO87,AP87&gt;AP86),AN86,AN87)</f>
        <v>Irã</v>
      </c>
      <c r="AS87" s="11">
        <f t="shared" si="60"/>
        <v>0</v>
      </c>
      <c r="AT87" s="11">
        <f t="shared" si="61"/>
        <v>-7</v>
      </c>
      <c r="AV87" s="11" t="str">
        <f t="shared" si="94"/>
        <v>Irã</v>
      </c>
      <c r="AW87" s="11">
        <f t="shared" si="63"/>
        <v>0</v>
      </c>
      <c r="AX87" s="11">
        <f t="shared" si="64"/>
        <v>-7</v>
      </c>
      <c r="AZ87" s="11" t="str">
        <f>IF(AND(AW84=AW87,AX87&gt;AX84),AV84,AV87)</f>
        <v>Irã</v>
      </c>
      <c r="BA87" s="11">
        <f t="shared" si="65"/>
        <v>0</v>
      </c>
      <c r="BB87" s="11">
        <f t="shared" si="66"/>
        <v>-7</v>
      </c>
      <c r="BD87" s="11" t="str">
        <f>IF(AND(BA81=BA87,BB87&gt;BB81),AZ81,AZ87)</f>
        <v>Irã</v>
      </c>
      <c r="BE87" s="11">
        <f t="shared" si="67"/>
        <v>0</v>
      </c>
      <c r="BF87" s="11">
        <f t="shared" si="68"/>
        <v>-7</v>
      </c>
      <c r="BH87" s="11" t="str">
        <f>IF(AND(BE82=BE87,BF87&gt;BF82),BD82,BD87)</f>
        <v>Irã</v>
      </c>
      <c r="BI87" s="11">
        <f t="shared" si="69"/>
        <v>0</v>
      </c>
      <c r="BJ87" s="11">
        <f t="shared" si="70"/>
        <v>-7</v>
      </c>
      <c r="BK87" s="11">
        <f t="shared" si="71"/>
        <v>0</v>
      </c>
      <c r="BL87" s="11" t="str">
        <f>IF(AND(BI87=BI88,BJ87=BJ88,BK88&gt;BK87),BH88,BH87)</f>
        <v>Irã</v>
      </c>
      <c r="BM87" s="11">
        <f t="shared" si="72"/>
        <v>0</v>
      </c>
      <c r="BN87" s="11">
        <f t="shared" si="73"/>
        <v>-7</v>
      </c>
      <c r="BO87" s="11">
        <f t="shared" si="74"/>
        <v>0</v>
      </c>
      <c r="BP87" s="11" t="str">
        <f>IF(AND(BM85=BM87,BN85=BN87,BO87&gt;BO85),BL85,BL87)</f>
        <v>Irã</v>
      </c>
      <c r="BQ87" s="11">
        <f t="shared" si="75"/>
        <v>0</v>
      </c>
      <c r="BR87" s="11">
        <f t="shared" si="76"/>
        <v>-7</v>
      </c>
      <c r="BS87" s="11">
        <f t="shared" si="77"/>
        <v>0</v>
      </c>
      <c r="BT87" s="11" t="str">
        <f>IF(AND(BQ86=BQ87,BR86=BR87,BS87&gt;BS86),BP86,BP87)</f>
        <v>Irã</v>
      </c>
      <c r="BU87" s="11">
        <f t="shared" si="78"/>
        <v>0</v>
      </c>
      <c r="BV87" s="11">
        <f t="shared" si="79"/>
        <v>-7</v>
      </c>
      <c r="BW87" s="11">
        <f t="shared" si="80"/>
        <v>0</v>
      </c>
      <c r="BX87" s="11" t="str">
        <f t="shared" si="95"/>
        <v>Irã</v>
      </c>
      <c r="BY87" s="11">
        <f t="shared" si="82"/>
        <v>0</v>
      </c>
      <c r="BZ87" s="11">
        <f t="shared" si="83"/>
        <v>-7</v>
      </c>
      <c r="CA87" s="11">
        <f t="shared" si="84"/>
        <v>0</v>
      </c>
      <c r="CB87" s="11" t="str">
        <f>IF(AND(BY84=BY87,BZ84=BZ87,CA87&gt;CA84),BX84,BX87)</f>
        <v>Irã</v>
      </c>
      <c r="CC87" s="11">
        <f t="shared" si="85"/>
        <v>0</v>
      </c>
      <c r="CD87" s="11">
        <f t="shared" si="86"/>
        <v>-7</v>
      </c>
      <c r="CE87" s="11">
        <f t="shared" si="87"/>
        <v>0</v>
      </c>
      <c r="CF87" s="11" t="str">
        <f>IF(AND(CC81=CC87,CD81=CD87,CE87&gt;CE81),CB81,CB87)</f>
        <v>Irã</v>
      </c>
      <c r="CG87" s="11">
        <f t="shared" si="88"/>
        <v>0</v>
      </c>
      <c r="CH87" s="11">
        <f t="shared" si="89"/>
        <v>-7</v>
      </c>
      <c r="CI87" s="11">
        <f t="shared" si="90"/>
        <v>0</v>
      </c>
      <c r="CJ87" s="11" t="str">
        <f>IF(AND(CG82=CG87,CH82=CH87,CI87&gt;CI82),CF82,CF87)</f>
        <v>Irã</v>
      </c>
      <c r="CK87" s="11">
        <f t="shared" si="91"/>
        <v>0</v>
      </c>
      <c r="CL87" s="11">
        <f t="shared" si="92"/>
        <v>-7</v>
      </c>
      <c r="CM87" s="11">
        <f t="shared" si="93"/>
        <v>0</v>
      </c>
      <c r="CO87" s="10">
        <f>IF(AND(CK87=CK88,CL87=CL88,CM87=CM88),2,1)</f>
        <v>1</v>
      </c>
    </row>
    <row r="88" spans="1:93">
      <c r="A88" s="40" t="str">
        <f>Tabela!N67</f>
        <v>Coreia do Sul</v>
      </c>
      <c r="B88" s="41">
        <f>Tabela!O67</f>
        <v>0</v>
      </c>
      <c r="C88" s="41">
        <f>Tabela!P67</f>
        <v>3</v>
      </c>
      <c r="D88" s="41">
        <f>Tabela!Q67</f>
        <v>0</v>
      </c>
      <c r="E88" s="41">
        <f>Tabela!R67</f>
        <v>0</v>
      </c>
      <c r="F88" s="41">
        <f>Tabela!S67</f>
        <v>3</v>
      </c>
      <c r="G88" s="41">
        <f>Tabela!T67</f>
        <v>3</v>
      </c>
      <c r="H88" s="41">
        <f>Tabela!U67</f>
        <v>9</v>
      </c>
      <c r="I88" s="41">
        <f>Tabela!V67</f>
        <v>-6</v>
      </c>
      <c r="K88" s="11" t="str">
        <f>IF(B88&lt;=B87,A88,A87)</f>
        <v>Coreia do Sul</v>
      </c>
      <c r="L88" s="11">
        <f t="shared" si="48"/>
        <v>0</v>
      </c>
      <c r="N88" s="11" t="str">
        <f>IF(L88&lt;=L86,K88,K86)</f>
        <v>Coreia do Sul</v>
      </c>
      <c r="O88" s="11">
        <f t="shared" si="49"/>
        <v>0</v>
      </c>
      <c r="Q88" s="11" t="str">
        <f>IF(O88&lt;=O85,N88,N85)</f>
        <v>Coreia do Sul</v>
      </c>
      <c r="R88" s="11">
        <f t="shared" si="50"/>
        <v>0</v>
      </c>
      <c r="U88" s="11" t="str">
        <f>IF(R84&gt;=R88,Q88,Q84)</f>
        <v>Coreia do Sul</v>
      </c>
      <c r="V88" s="11">
        <f t="shared" si="51"/>
        <v>0</v>
      </c>
      <c r="X88" s="11" t="str">
        <f>IF(V83&gt;=V88,U88,U83)</f>
        <v>Coreia do Sul</v>
      </c>
      <c r="Y88" s="11">
        <f t="shared" si="52"/>
        <v>0</v>
      </c>
      <c r="AB88" s="11" t="str">
        <f>IF(Y82&gt;=Y88,X88,X82)</f>
        <v>Coreia do Sul</v>
      </c>
      <c r="AC88" s="11">
        <f t="shared" si="53"/>
        <v>0</v>
      </c>
      <c r="AF88" s="11" t="str">
        <f>IF(AC81&gt;=AC88,AB88,AB81)</f>
        <v>Coreia do Sul</v>
      </c>
      <c r="AG88" s="11">
        <f t="shared" si="54"/>
        <v>0</v>
      </c>
      <c r="AH88" s="11">
        <f t="shared" si="55"/>
        <v>-6</v>
      </c>
      <c r="AJ88" s="11" t="str">
        <f>IF(AND(AG87=AG88,AH88&gt;AH87),AF87,AF88)</f>
        <v>Coreia do Sul</v>
      </c>
      <c r="AK88" s="11">
        <f t="shared" si="56"/>
        <v>0</v>
      </c>
      <c r="AL88" s="11">
        <f t="shared" si="57"/>
        <v>-6</v>
      </c>
      <c r="AN88" s="11" t="str">
        <f>IF(AND(AK86=AK88,AL88&gt;AL86),AJ86,AJ88)</f>
        <v>Austrália</v>
      </c>
      <c r="AO88" s="11">
        <f t="shared" si="58"/>
        <v>0</v>
      </c>
      <c r="AP88" s="11">
        <f t="shared" si="59"/>
        <v>-8</v>
      </c>
      <c r="AR88" s="11" t="str">
        <f>IF(AND(AO85=AO88,AP88&gt;AP85),AN85,AN88)</f>
        <v>Austrália</v>
      </c>
      <c r="AS88" s="11">
        <f t="shared" si="60"/>
        <v>0</v>
      </c>
      <c r="AT88" s="11">
        <f t="shared" si="61"/>
        <v>-8</v>
      </c>
      <c r="AV88" s="11" t="str">
        <f t="shared" si="94"/>
        <v>Austrália</v>
      </c>
      <c r="AW88" s="11">
        <f t="shared" si="63"/>
        <v>0</v>
      </c>
      <c r="AX88" s="11">
        <f t="shared" si="64"/>
        <v>-8</v>
      </c>
      <c r="AZ88" s="11" t="str">
        <f>IF(AND(AW83=AW88,AX88&gt;AX83),AV83,AV88)</f>
        <v>Austrália</v>
      </c>
      <c r="BA88" s="11">
        <f t="shared" si="65"/>
        <v>0</v>
      </c>
      <c r="BB88" s="11">
        <f t="shared" si="66"/>
        <v>-8</v>
      </c>
      <c r="BD88" s="11" t="str">
        <f>IF(AND(BA82=BA88,BB88&gt;BB82),AZ82,AZ88)</f>
        <v>Austrália</v>
      </c>
      <c r="BE88" s="11">
        <f t="shared" si="67"/>
        <v>0</v>
      </c>
      <c r="BF88" s="11">
        <f t="shared" si="68"/>
        <v>-8</v>
      </c>
      <c r="BH88" s="11" t="str">
        <f>IF(AND(BE81=BE88,BF88&gt;BF81),BD81,BD88)</f>
        <v>Austrália</v>
      </c>
      <c r="BI88" s="11">
        <f t="shared" si="69"/>
        <v>0</v>
      </c>
      <c r="BJ88" s="11">
        <f t="shared" si="70"/>
        <v>-8</v>
      </c>
      <c r="BK88" s="11">
        <f t="shared" si="71"/>
        <v>1</v>
      </c>
      <c r="BL88" s="11" t="str">
        <f>IF(AND(BI88=BI87,BJ88=BJ87,BK88&gt;BK87),BH87,BH88)</f>
        <v>Austrália</v>
      </c>
      <c r="BM88" s="11">
        <f t="shared" si="72"/>
        <v>0</v>
      </c>
      <c r="BN88" s="11">
        <f t="shared" si="73"/>
        <v>-8</v>
      </c>
      <c r="BO88" s="11">
        <f t="shared" si="74"/>
        <v>1</v>
      </c>
      <c r="BP88" s="11" t="str">
        <f>IF(AND(BM86=BM88,BN86=BN88,BO88&gt;BO86),BL86,BL88)</f>
        <v>Austrália</v>
      </c>
      <c r="BQ88" s="11">
        <f t="shared" si="75"/>
        <v>0</v>
      </c>
      <c r="BR88" s="11">
        <f t="shared" si="76"/>
        <v>-8</v>
      </c>
      <c r="BS88" s="11">
        <f t="shared" si="77"/>
        <v>1</v>
      </c>
      <c r="BT88" s="11" t="str">
        <f>IF(AND(BQ85=BQ88,BR85=BR88,BS88&gt;BS85),BP85,BP88)</f>
        <v>Austrália</v>
      </c>
      <c r="BU88" s="11">
        <f t="shared" si="78"/>
        <v>0</v>
      </c>
      <c r="BV88" s="11">
        <f t="shared" si="79"/>
        <v>-8</v>
      </c>
      <c r="BW88" s="11">
        <f t="shared" si="80"/>
        <v>1</v>
      </c>
      <c r="BX88" s="11" t="str">
        <f t="shared" si="95"/>
        <v>Austrália</v>
      </c>
      <c r="BY88" s="11">
        <f t="shared" si="82"/>
        <v>0</v>
      </c>
      <c r="BZ88" s="11">
        <f t="shared" si="83"/>
        <v>-8</v>
      </c>
      <c r="CA88" s="11">
        <f t="shared" si="84"/>
        <v>1</v>
      </c>
      <c r="CB88" s="11" t="str">
        <f>IF(AND(BY83=BY88,BZ83=BZ88,CA88&gt;CA83),BX83,BX88)</f>
        <v>Austrália</v>
      </c>
      <c r="CC88" s="11">
        <f t="shared" si="85"/>
        <v>0</v>
      </c>
      <c r="CD88" s="11">
        <f t="shared" si="86"/>
        <v>-8</v>
      </c>
      <c r="CE88" s="11">
        <f t="shared" si="87"/>
        <v>1</v>
      </c>
      <c r="CF88" s="11" t="str">
        <f>IF(AND(CC82=CC88,CD82=CD88,CE88&gt;CE82),CB82,CB88)</f>
        <v>Austrália</v>
      </c>
      <c r="CG88" s="11">
        <f t="shared" si="88"/>
        <v>0</v>
      </c>
      <c r="CH88" s="11">
        <f t="shared" si="89"/>
        <v>-8</v>
      </c>
      <c r="CI88" s="11">
        <f t="shared" si="90"/>
        <v>1</v>
      </c>
      <c r="CJ88" s="11" t="str">
        <f>IF(AND(CG81=CG88,CH81=CH88,CI88&gt;CI81),CF81,CF88)</f>
        <v>Austrália</v>
      </c>
      <c r="CK88" s="11">
        <f t="shared" si="91"/>
        <v>0</v>
      </c>
      <c r="CL88" s="11">
        <f t="shared" si="92"/>
        <v>-8</v>
      </c>
      <c r="CM88" s="11">
        <f t="shared" si="93"/>
        <v>1</v>
      </c>
    </row>
    <row r="91" spans="1:93">
      <c r="A91" s="6" t="s">
        <v>207</v>
      </c>
      <c r="B91" s="4">
        <f>MAX(Tabela!T8:T11,Tabela!T24:T27,Tabela!T32:T35,Tabela!T40:T43,Tabela!T48:T51,Tabela!T56:T59,Tabela!T64:T67)</f>
        <v>11</v>
      </c>
      <c r="C91" s="10"/>
      <c r="E91" s="10"/>
      <c r="F91" s="10"/>
      <c r="K91" s="6"/>
    </row>
    <row r="92" spans="1:93">
      <c r="B92" s="4">
        <f>COUNTIF(B97:B128,B91)</f>
        <v>1</v>
      </c>
      <c r="K92" s="6"/>
    </row>
    <row r="93" spans="1:93">
      <c r="A93" s="6" t="s">
        <v>208</v>
      </c>
      <c r="B93" s="4">
        <f>MIN(Tabela!T8:T11,Tabela!T24:T27,Tabela!T32:T35,Tabela!T40:T43,Tabela!T48:T51,Tabela!T56:T59,Tabela!T64:T67)</f>
        <v>1</v>
      </c>
      <c r="K93" s="6"/>
    </row>
    <row r="94" spans="1:93">
      <c r="B94" s="4">
        <f>COUNTIF(B97:B128,B93)</f>
        <v>2</v>
      </c>
      <c r="K94" s="6"/>
    </row>
    <row r="95" spans="1:93">
      <c r="K95" s="6"/>
    </row>
    <row r="96" spans="1:93">
      <c r="B96" s="6" t="str">
        <f>G4</f>
        <v>GP</v>
      </c>
      <c r="C96" s="6"/>
    </row>
    <row r="97" spans="1:28">
      <c r="A97" s="6" t="str">
        <f>A5</f>
        <v>Qatar</v>
      </c>
      <c r="B97" s="6">
        <f>G5</f>
        <v>3</v>
      </c>
      <c r="C97" s="6" t="str">
        <f>A97</f>
        <v>Qatar</v>
      </c>
      <c r="E97" s="6"/>
      <c r="F97" s="6"/>
      <c r="J97" s="4">
        <v>1</v>
      </c>
      <c r="K97" s="10" t="str" cm="1">
        <f t="array" aca="1" ref="K97" ca="1">IF(J97&lt;=$B$92,INDIRECT("A"&amp;N97),"")</f>
        <v>Alemanha</v>
      </c>
      <c r="N97" s="10" cm="1">
        <f t="array" ref="N97">LARGE(($B$97:$B$128=$B$91)*ROW($B$97:$B$128),$B$92-J97+1)</f>
        <v>115</v>
      </c>
      <c r="Q97" s="10" t="str" cm="1">
        <f t="array" aca="1" ref="Q97" ca="1">IF(J97&lt;=$B$94,INDIRECT("A"&amp;U97),"")</f>
        <v>Arábia Saudita</v>
      </c>
      <c r="U97" s="10" cm="1">
        <f t="array" ref="U97">LARGE(($B$97:$B$128=$B$93)*ROW($B$97:$B$128),$B$94-J97+1)</f>
        <v>106</v>
      </c>
      <c r="X97" s="10" t="str" cm="1">
        <f t="array" aca="1" ref="X97" ca="1">OFFSET($J$97,0,1,$B$92)</f>
        <v>Alemanha</v>
      </c>
      <c r="AB97" s="10" t="str" cm="1">
        <f t="array" aca="1" ref="AB97:AB98" ca="1">OFFSET($J$97,0,7,$B$94)</f>
        <v>Arábia Saudita</v>
      </c>
    </row>
    <row r="98" spans="1:28">
      <c r="A98" s="6" t="str">
        <f>A6</f>
        <v>Equador</v>
      </c>
      <c r="B98" s="6">
        <f>G6</f>
        <v>3</v>
      </c>
      <c r="C98" s="6" t="str">
        <f t="shared" ref="C98:C128" si="96">A98</f>
        <v>Equador</v>
      </c>
      <c r="J98" s="4">
        <v>2</v>
      </c>
      <c r="K98" s="10" t="str" cm="1">
        <f t="array" aca="1" ref="K98" ca="1">IF(J98&lt;=$B$92,INDIRECT("A"&amp;N98),"")</f>
        <v/>
      </c>
      <c r="N98" s="10" t="e" cm="1">
        <f t="array" ref="N98">LARGE(($B$97:$B$128=$B$91)*ROW($B$97:$B$128),$B$92-J98+1)</f>
        <v>#NUM!</v>
      </c>
      <c r="Q98" s="10" t="str" cm="1">
        <f t="array" aca="1" ref="Q98" ca="1">IF(J98&lt;=$B$94,INDIRECT("A"&amp;U98),"")</f>
        <v>Austrália</v>
      </c>
      <c r="U98" s="10" cm="1">
        <f t="array" ref="U98">LARGE(($B$97:$B$128=$B$93)*ROW($B$97:$B$128),$B$94-J98+1)</f>
        <v>110</v>
      </c>
      <c r="AB98" s="10" t="str">
        <f ca="1"/>
        <v>Austrália</v>
      </c>
    </row>
    <row r="99" spans="1:28">
      <c r="A99" s="6" t="str">
        <f>A7</f>
        <v>Senegal</v>
      </c>
      <c r="B99" s="6">
        <f>G7</f>
        <v>2</v>
      </c>
      <c r="C99" s="6" t="str">
        <f t="shared" si="96"/>
        <v>Senegal</v>
      </c>
      <c r="J99" s="4">
        <v>3</v>
      </c>
      <c r="K99" s="10" t="str" cm="1">
        <f t="array" aca="1" ref="K99" ca="1">IF(J99&lt;=$B$92,INDIRECT("A"&amp;N99),"")</f>
        <v/>
      </c>
      <c r="N99" s="10" t="e" cm="1">
        <f t="array" ref="N99">LARGE(($B$97:$B$128=$B$91)*ROW($B$97:$B$128),$B$92-J99+1)</f>
        <v>#NUM!</v>
      </c>
      <c r="Q99" s="10" t="str" cm="1">
        <f t="array" aca="1" ref="Q99" ca="1">IF(J99&lt;=$B$94,INDIRECT("A"&amp;U99),"")</f>
        <v/>
      </c>
      <c r="U99" s="10" t="e" cm="1">
        <f t="array" ref="U99">LARGE(($B$97:$B$128=$B$93)*ROW($B$97:$B$128),$B$94-J99+1)</f>
        <v>#NUM!</v>
      </c>
    </row>
    <row r="100" spans="1:28">
      <c r="A100" s="6" t="str">
        <f>A8</f>
        <v>Holanda</v>
      </c>
      <c r="B100" s="6">
        <f>G8</f>
        <v>6</v>
      </c>
      <c r="C100" s="6" t="str">
        <f t="shared" si="96"/>
        <v>Holanda</v>
      </c>
      <c r="J100" s="4">
        <v>4</v>
      </c>
      <c r="K100" s="10" t="str" cm="1">
        <f t="array" aca="1" ref="K100" ca="1">IF(J100&lt;=$B$92,INDIRECT("A"&amp;N100),"")</f>
        <v/>
      </c>
      <c r="N100" s="10" t="e" cm="1">
        <f t="array" ref="N100">LARGE(($B$97:$B$128=$B$91)*ROW($B$97:$B$128),$B$92-J100+1)</f>
        <v>#NUM!</v>
      </c>
      <c r="Q100" s="10" t="str" cm="1">
        <f t="array" aca="1" ref="Q100" ca="1">IF(J100&lt;=$B$94,INDIRECT("A"&amp;U100),"")</f>
        <v/>
      </c>
      <c r="U100" s="10" t="e" cm="1">
        <f t="array" ref="U100">LARGE(($B$97:$B$128=$B$93)*ROW($B$97:$B$128),$B$94-J100+1)</f>
        <v>#NUM!</v>
      </c>
    </row>
    <row r="101" spans="1:28">
      <c r="A101" s="6" t="str">
        <f>A13</f>
        <v>Inglaterra</v>
      </c>
      <c r="B101" s="6">
        <f>G13</f>
        <v>6</v>
      </c>
      <c r="C101" s="6" t="str">
        <f t="shared" si="96"/>
        <v>Inglaterra</v>
      </c>
      <c r="J101" s="4">
        <v>5</v>
      </c>
      <c r="K101" s="10" t="str" cm="1">
        <f t="array" aca="1" ref="K101" ca="1">IF(J101&lt;=$B$92,INDIRECT("A"&amp;N101),"")</f>
        <v/>
      </c>
      <c r="N101" s="10" t="e" cm="1">
        <f t="array" ref="N101">LARGE(($B$97:$B$128=$B$91)*ROW($B$97:$B$128),$B$92-J101+1)</f>
        <v>#NUM!</v>
      </c>
      <c r="Q101" s="10" t="str" cm="1">
        <f t="array" aca="1" ref="Q101" ca="1">IF(J101&lt;=$B$94,INDIRECT("A"&amp;U101),"")</f>
        <v/>
      </c>
      <c r="U101" s="10" t="e" cm="1">
        <f t="array" ref="U101">LARGE(($B$97:$B$128=$B$93)*ROW($B$97:$B$128),$B$94-J101+1)</f>
        <v>#NUM!</v>
      </c>
    </row>
    <row r="102" spans="1:28">
      <c r="A102" s="6" t="str">
        <f>A14</f>
        <v>Irã</v>
      </c>
      <c r="B102" s="6">
        <f>G14</f>
        <v>0</v>
      </c>
      <c r="C102" s="6" t="str">
        <f t="shared" si="96"/>
        <v>Irã</v>
      </c>
      <c r="J102" s="4">
        <v>6</v>
      </c>
      <c r="K102" s="10" t="str" cm="1">
        <f t="array" aca="1" ref="K102" ca="1">IF(J102&lt;=$B$92,INDIRECT("A"&amp;N102),"")</f>
        <v/>
      </c>
      <c r="N102" s="10" t="e" cm="1">
        <f t="array" ref="N102">LARGE(($B$97:$B$128=$B$91)*ROW($B$97:$B$128),$B$92-J102+1)</f>
        <v>#NUM!</v>
      </c>
      <c r="Q102" s="10" t="str" cm="1">
        <f t="array" aca="1" ref="Q102" ca="1">IF(J102&lt;=$B$94,INDIRECT("A"&amp;U102),"")</f>
        <v/>
      </c>
      <c r="U102" s="10" t="e" cm="1">
        <f t="array" ref="U102">LARGE(($B$97:$B$128=$B$93)*ROW($B$97:$B$128),$B$94-J102+1)</f>
        <v>#NUM!</v>
      </c>
    </row>
    <row r="103" spans="1:28">
      <c r="A103" s="6" t="str">
        <f>A15</f>
        <v>Estados Unidos</v>
      </c>
      <c r="B103" s="6">
        <f>G15</f>
        <v>5</v>
      </c>
      <c r="C103" s="6" t="str">
        <f t="shared" si="96"/>
        <v>Estados Unidos</v>
      </c>
      <c r="J103" s="4">
        <v>7</v>
      </c>
      <c r="K103" s="10" t="str" cm="1">
        <f t="array" aca="1" ref="K103" ca="1">IF(J103&lt;=$B$92,INDIRECT("A"&amp;N103),"")</f>
        <v/>
      </c>
      <c r="N103" s="10" t="e" cm="1">
        <f t="array" ref="N103">LARGE(($B$97:$B$128=$B$91)*ROW($B$97:$B$128),$B$92-J103+1)</f>
        <v>#NUM!</v>
      </c>
      <c r="Q103" s="10" t="str" cm="1">
        <f t="array" aca="1" ref="Q103" ca="1">IF(J103&lt;=$B$94,INDIRECT("A"&amp;U103),"")</f>
        <v/>
      </c>
      <c r="U103" s="10" t="e" cm="1">
        <f t="array" ref="U103">LARGE(($B$97:$B$128=$B$93)*ROW($B$97:$B$128),$B$94-J103+1)</f>
        <v>#NUM!</v>
      </c>
    </row>
    <row r="104" spans="1:28">
      <c r="A104" s="6" t="str">
        <f>A16</f>
        <v>País de Gales</v>
      </c>
      <c r="B104" s="6">
        <f>G16</f>
        <v>4</v>
      </c>
      <c r="C104" s="6" t="str">
        <f t="shared" si="96"/>
        <v>País de Gales</v>
      </c>
      <c r="J104" s="4">
        <v>8</v>
      </c>
      <c r="K104" s="10" t="str" cm="1">
        <f t="array" aca="1" ref="K104" ca="1">IF(J104&lt;=$B$92,INDIRECT("A"&amp;N104),"")</f>
        <v/>
      </c>
      <c r="N104" s="10" t="e" cm="1">
        <f t="array" ref="N104">LARGE(($B$97:$B$128=$B$91)*ROW($B$97:$B$128),$B$92-J104+1)</f>
        <v>#NUM!</v>
      </c>
      <c r="Q104" s="10" t="str" cm="1">
        <f t="array" aca="1" ref="Q104" ca="1">IF(J104&lt;=$B$94,INDIRECT("A"&amp;U104),"")</f>
        <v/>
      </c>
      <c r="U104" s="10" t="e" cm="1">
        <f t="array" ref="U104">LARGE(($B$97:$B$128=$B$93)*ROW($B$97:$B$128),$B$94-J104+1)</f>
        <v>#NUM!</v>
      </c>
    </row>
    <row r="105" spans="1:28">
      <c r="A105" s="6" t="str">
        <f>A21</f>
        <v>Argentina</v>
      </c>
      <c r="B105" s="6">
        <f>G21</f>
        <v>7</v>
      </c>
      <c r="C105" s="6" t="str">
        <f t="shared" si="96"/>
        <v>Argentina</v>
      </c>
      <c r="J105" s="4">
        <v>9</v>
      </c>
      <c r="K105" s="10" t="str" cm="1">
        <f t="array" aca="1" ref="K105" ca="1">IF(J105&lt;=$B$92,INDIRECT("A"&amp;N105),"")</f>
        <v/>
      </c>
      <c r="N105" s="10" t="e" cm="1">
        <f t="array" ref="N105">LARGE(($B$97:$B$128=$B$91)*ROW($B$97:$B$128),$B$92-J105+1)</f>
        <v>#NUM!</v>
      </c>
      <c r="Q105" s="10" t="str" cm="1">
        <f t="array" aca="1" ref="Q105" ca="1">IF(J105&lt;=$B$94,INDIRECT("A"&amp;U105),"")</f>
        <v/>
      </c>
      <c r="U105" s="10" t="e" cm="1">
        <f t="array" ref="U105">LARGE(($B$97:$B$128=$B$93)*ROW($B$97:$B$128),$B$94-J105+1)</f>
        <v>#NUM!</v>
      </c>
    </row>
    <row r="106" spans="1:28">
      <c r="A106" s="6" t="str">
        <f>A22</f>
        <v>Arábia Saudita</v>
      </c>
      <c r="B106" s="6">
        <f>G22</f>
        <v>1</v>
      </c>
      <c r="C106" s="6" t="str">
        <f t="shared" si="96"/>
        <v>Arábia Saudita</v>
      </c>
      <c r="J106" s="4">
        <v>10</v>
      </c>
      <c r="K106" s="10" t="str" cm="1">
        <f t="array" aca="1" ref="K106" ca="1">IF(J106&lt;=$B$92,INDIRECT("A"&amp;N106),"")</f>
        <v/>
      </c>
      <c r="N106" s="10" t="e" cm="1">
        <f t="array" ref="N106">LARGE(($B$97:$B$128=$B$91)*ROW($B$97:$B$128),$B$92-J106+1)</f>
        <v>#NUM!</v>
      </c>
      <c r="Q106" s="10" t="str" cm="1">
        <f t="array" aca="1" ref="Q106" ca="1">IF(J106&lt;=$B$94,INDIRECT("A"&amp;U106),"")</f>
        <v/>
      </c>
      <c r="U106" s="10" t="e" cm="1">
        <f t="array" ref="U106">LARGE(($B$97:$B$128=$B$93)*ROW($B$97:$B$128),$B$94-J106+1)</f>
        <v>#NUM!</v>
      </c>
    </row>
    <row r="107" spans="1:28">
      <c r="A107" s="6" t="str">
        <f>A23</f>
        <v>México</v>
      </c>
      <c r="B107" s="6">
        <f>G23</f>
        <v>4</v>
      </c>
      <c r="C107" s="6" t="str">
        <f t="shared" si="96"/>
        <v>México</v>
      </c>
      <c r="J107" s="4">
        <v>11</v>
      </c>
      <c r="K107" s="10" t="str" cm="1">
        <f t="array" aca="1" ref="K107" ca="1">IF(J107&lt;=$B$92,INDIRECT("A"&amp;N107),"")</f>
        <v/>
      </c>
      <c r="N107" s="10" t="e" cm="1">
        <f t="array" ref="N107">LARGE(($B$97:$B$128=$B$91)*ROW($B$97:$B$128),$B$92-J107+1)</f>
        <v>#NUM!</v>
      </c>
      <c r="Q107" s="10" t="str" cm="1">
        <f t="array" aca="1" ref="Q107" ca="1">IF(J107&lt;=$B$94,INDIRECT("A"&amp;U107),"")</f>
        <v/>
      </c>
      <c r="U107" s="10" t="e" cm="1">
        <f t="array" ref="U107">LARGE(($B$97:$B$128=$B$93)*ROW($B$97:$B$128),$B$94-J107+1)</f>
        <v>#NUM!</v>
      </c>
    </row>
    <row r="108" spans="1:28">
      <c r="A108" s="6" t="str">
        <f>A24</f>
        <v>Polônia</v>
      </c>
      <c r="B108" s="6">
        <f>G24</f>
        <v>7</v>
      </c>
      <c r="C108" s="6" t="str">
        <f t="shared" si="96"/>
        <v>Polônia</v>
      </c>
      <c r="J108" s="4">
        <v>12</v>
      </c>
      <c r="K108" s="10" t="str" cm="1">
        <f t="array" aca="1" ref="K108" ca="1">IF(J108&lt;=$B$92,INDIRECT("A"&amp;N108),"")</f>
        <v/>
      </c>
      <c r="N108" s="10" t="e" cm="1">
        <f t="array" ref="N108">LARGE(($B$97:$B$128=$B$91)*ROW($B$97:$B$128),$B$92-J108+1)</f>
        <v>#NUM!</v>
      </c>
      <c r="Q108" s="10" t="str" cm="1">
        <f t="array" aca="1" ref="Q108" ca="1">IF(J108&lt;=$B$94,INDIRECT("A"&amp;U108),"")</f>
        <v/>
      </c>
      <c r="U108" s="10" t="e" cm="1">
        <f t="array" ref="U108">LARGE(($B$97:$B$128=$B$93)*ROW($B$97:$B$128),$B$94-J108+1)</f>
        <v>#NUM!</v>
      </c>
    </row>
    <row r="109" spans="1:28">
      <c r="A109" s="6" t="str">
        <f>A29</f>
        <v>França</v>
      </c>
      <c r="B109" s="6">
        <f>G29</f>
        <v>7</v>
      </c>
      <c r="C109" s="6" t="str">
        <f t="shared" si="96"/>
        <v>França</v>
      </c>
      <c r="J109" s="4">
        <v>13</v>
      </c>
      <c r="K109" s="10" t="str" cm="1">
        <f t="array" aca="1" ref="K109" ca="1">IF(J109&lt;=$B$92,INDIRECT("A"&amp;N109),"")</f>
        <v/>
      </c>
      <c r="N109" s="10" t="e" cm="1">
        <f t="array" ref="N109">LARGE(($B$97:$B$128=$B$91)*ROW($B$97:$B$128),$B$92-J109+1)</f>
        <v>#NUM!</v>
      </c>
      <c r="Q109" s="10" t="str" cm="1">
        <f t="array" aca="1" ref="Q109" ca="1">IF(J109&lt;=$B$94,INDIRECT("A"&amp;U109),"")</f>
        <v/>
      </c>
      <c r="U109" s="10" t="e" cm="1">
        <f t="array" ref="U109">LARGE(($B$97:$B$128=$B$93)*ROW($B$97:$B$128),$B$94-J109+1)</f>
        <v>#NUM!</v>
      </c>
    </row>
    <row r="110" spans="1:28">
      <c r="A110" s="6" t="str">
        <f>A30</f>
        <v>Austrália</v>
      </c>
      <c r="B110" s="6">
        <f>G30</f>
        <v>1</v>
      </c>
      <c r="C110" s="6" t="str">
        <f t="shared" si="96"/>
        <v>Austrália</v>
      </c>
      <c r="J110" s="4">
        <v>14</v>
      </c>
      <c r="K110" s="10" t="str" cm="1">
        <f t="array" aca="1" ref="K110" ca="1">IF(J110&lt;=$B$92,INDIRECT("A"&amp;N110),"")</f>
        <v/>
      </c>
      <c r="N110" s="10" t="e" cm="1">
        <f t="array" ref="N110">LARGE(($B$97:$B$128=$B$91)*ROW($B$97:$B$128),$B$92-J110+1)</f>
        <v>#NUM!</v>
      </c>
      <c r="Q110" s="10" t="str" cm="1">
        <f t="array" aca="1" ref="Q110" ca="1">IF(J110&lt;=$B$94,INDIRECT("A"&amp;U110),"")</f>
        <v/>
      </c>
      <c r="U110" s="10" t="e" cm="1">
        <f t="array" ref="U110">LARGE(($B$97:$B$128=$B$93)*ROW($B$97:$B$128),$B$94-J110+1)</f>
        <v>#NUM!</v>
      </c>
    </row>
    <row r="111" spans="1:28">
      <c r="A111" s="6" t="str">
        <f>A31</f>
        <v>Dinamarca</v>
      </c>
      <c r="B111" s="6">
        <f>G31</f>
        <v>8</v>
      </c>
      <c r="C111" s="6" t="str">
        <f t="shared" si="96"/>
        <v>Dinamarca</v>
      </c>
      <c r="J111" s="4">
        <v>15</v>
      </c>
      <c r="K111" s="10" t="str" cm="1">
        <f t="array" aca="1" ref="K111" ca="1">IF(J111&lt;=$B$92,INDIRECT("A"&amp;N111),"")</f>
        <v/>
      </c>
      <c r="N111" s="10" t="e" cm="1">
        <f t="array" ref="N111">LARGE(($B$97:$B$128=$B$91)*ROW($B$97:$B$128),$B$92-J111+1)</f>
        <v>#NUM!</v>
      </c>
      <c r="Q111" s="10" t="str" cm="1">
        <f t="array" aca="1" ref="Q111" ca="1">IF(J111&lt;=$B$94,INDIRECT("A"&amp;U111),"")</f>
        <v/>
      </c>
      <c r="U111" s="10" t="e" cm="1">
        <f t="array" ref="U111">LARGE(($B$97:$B$128=$B$93)*ROW($B$97:$B$128),$B$94-J111+1)</f>
        <v>#NUM!</v>
      </c>
    </row>
    <row r="112" spans="1:28">
      <c r="A112" s="6" t="str">
        <f>A32</f>
        <v>Tunísia</v>
      </c>
      <c r="B112" s="6">
        <f>G32</f>
        <v>3</v>
      </c>
      <c r="C112" s="6" t="str">
        <f t="shared" si="96"/>
        <v>Tunísia</v>
      </c>
      <c r="J112" s="4">
        <v>16</v>
      </c>
      <c r="K112" s="10" t="str" cm="1">
        <f t="array" aca="1" ref="K112" ca="1">IF(J112&lt;=$B$92,INDIRECT("A"&amp;N112),"")</f>
        <v/>
      </c>
      <c r="N112" s="10" t="e" cm="1">
        <f t="array" ref="N112">LARGE(($B$97:$B$128=$B$91)*ROW($B$97:$B$128),$B$92-J112+1)</f>
        <v>#NUM!</v>
      </c>
      <c r="Q112" s="10" t="str" cm="1">
        <f t="array" aca="1" ref="Q112" ca="1">IF(J112&lt;=$B$94,INDIRECT("A"&amp;U112),"")</f>
        <v/>
      </c>
      <c r="U112" s="10" t="e" cm="1">
        <f t="array" ref="U112">LARGE(($B$97:$B$128=$B$93)*ROW($B$97:$B$128),$B$94-J112+1)</f>
        <v>#NUM!</v>
      </c>
    </row>
    <row r="113" spans="1:21">
      <c r="A113" s="6" t="str">
        <f>A37</f>
        <v>Espanha</v>
      </c>
      <c r="B113" s="6">
        <f>G37</f>
        <v>7</v>
      </c>
      <c r="C113" s="6" t="str">
        <f t="shared" si="96"/>
        <v>Espanha</v>
      </c>
      <c r="J113" s="4">
        <v>17</v>
      </c>
      <c r="K113" s="10" t="str" cm="1">
        <f t="array" aca="1" ref="K113" ca="1">IF(J113&lt;=$B$92,INDIRECT("A"&amp;N113),"")</f>
        <v/>
      </c>
      <c r="N113" s="10" t="e" cm="1">
        <f t="array" ref="N113">LARGE(($B$97:$B$128=$B$91)*ROW($B$97:$B$128),$B$92-J113+1)</f>
        <v>#NUM!</v>
      </c>
      <c r="Q113" s="10" t="str" cm="1">
        <f t="array" aca="1" ref="Q113" ca="1">IF(J113&lt;=$B$94,INDIRECT("A"&amp;U113),"")</f>
        <v/>
      </c>
      <c r="U113" s="10" t="e" cm="1">
        <f t="array" ref="U113">LARGE(($B$97:$B$128=$B$93)*ROW($B$97:$B$128),$B$94-J113+1)</f>
        <v>#NUM!</v>
      </c>
    </row>
    <row r="114" spans="1:21">
      <c r="A114" s="6" t="str">
        <f>A38</f>
        <v>Costa Rica</v>
      </c>
      <c r="B114" s="6">
        <f>G38</f>
        <v>6</v>
      </c>
      <c r="C114" s="6" t="str">
        <f t="shared" si="96"/>
        <v>Costa Rica</v>
      </c>
      <c r="J114" s="4">
        <v>18</v>
      </c>
      <c r="K114" s="10" t="str" cm="1">
        <f t="array" aca="1" ref="K114" ca="1">IF(J114&lt;=$B$92,INDIRECT("A"&amp;N114),"")</f>
        <v/>
      </c>
      <c r="N114" s="10" t="e" cm="1">
        <f t="array" ref="N114">LARGE(($B$97:$B$128=$B$91)*ROW($B$97:$B$128),$B$92-J114+1)</f>
        <v>#NUM!</v>
      </c>
      <c r="Q114" s="10" t="str" cm="1">
        <f t="array" aca="1" ref="Q114" ca="1">IF(J114&lt;=$B$94,INDIRECT("A"&amp;U114),"")</f>
        <v/>
      </c>
      <c r="U114" s="10" t="e" cm="1">
        <f t="array" ref="U114">LARGE(($B$97:$B$128=$B$93)*ROW($B$97:$B$128),$B$94-J114+1)</f>
        <v>#NUM!</v>
      </c>
    </row>
    <row r="115" spans="1:21">
      <c r="A115" s="6" t="str">
        <f>A39</f>
        <v>Alemanha</v>
      </c>
      <c r="B115" s="6">
        <f>G39</f>
        <v>11</v>
      </c>
      <c r="C115" s="6" t="str">
        <f t="shared" si="96"/>
        <v>Alemanha</v>
      </c>
      <c r="J115" s="4">
        <v>19</v>
      </c>
      <c r="K115" s="10" t="str" cm="1">
        <f t="array" aca="1" ref="K115" ca="1">IF(J115&lt;=$B$92,INDIRECT("A"&amp;N115),"")</f>
        <v/>
      </c>
      <c r="N115" s="10" t="e" cm="1">
        <f t="array" ref="N115">LARGE(($B$97:$B$128=$B$91)*ROW($B$97:$B$128),$B$92-J115+1)</f>
        <v>#NUM!</v>
      </c>
      <c r="Q115" s="10" t="str" cm="1">
        <f t="array" aca="1" ref="Q115" ca="1">IF(J115&lt;=$B$94,INDIRECT("A"&amp;U115),"")</f>
        <v/>
      </c>
      <c r="U115" s="10" t="e" cm="1">
        <f t="array" ref="U115">LARGE(($B$97:$B$128=$B$93)*ROW($B$97:$B$128),$B$94-J115+1)</f>
        <v>#NUM!</v>
      </c>
    </row>
    <row r="116" spans="1:21">
      <c r="A116" s="6" t="str">
        <f>A40</f>
        <v>Japão</v>
      </c>
      <c r="B116" s="6">
        <f>G40</f>
        <v>2</v>
      </c>
      <c r="C116" s="6" t="str">
        <f t="shared" si="96"/>
        <v>Japão</v>
      </c>
      <c r="J116" s="4">
        <v>20</v>
      </c>
      <c r="K116" s="10" t="str" cm="1">
        <f t="array" aca="1" ref="K116" ca="1">IF(J116&lt;=$B$92,INDIRECT("A"&amp;N116),"")</f>
        <v/>
      </c>
      <c r="N116" s="10" t="e" cm="1">
        <f t="array" ref="N116">LARGE(($B$97:$B$128=$B$91)*ROW($B$97:$B$128),$B$92-J116+1)</f>
        <v>#NUM!</v>
      </c>
      <c r="Q116" s="10" t="str" cm="1">
        <f t="array" aca="1" ref="Q116" ca="1">IF(J116&lt;=$B$94,INDIRECT("A"&amp;U116),"")</f>
        <v/>
      </c>
      <c r="U116" s="10" t="e" cm="1">
        <f t="array" ref="U116">LARGE(($B$97:$B$128=$B$93)*ROW($B$97:$B$128),$B$94-J116+1)</f>
        <v>#NUM!</v>
      </c>
    </row>
    <row r="117" spans="1:21">
      <c r="A117" s="6" t="str">
        <f>A45</f>
        <v>Bélgica</v>
      </c>
      <c r="B117" s="6">
        <f>G45</f>
        <v>7</v>
      </c>
      <c r="C117" s="6" t="str">
        <f t="shared" si="96"/>
        <v>Bélgica</v>
      </c>
      <c r="J117" s="4">
        <v>21</v>
      </c>
      <c r="K117" s="10" t="str" cm="1">
        <f t="array" aca="1" ref="K117" ca="1">IF(J117&lt;=$B$92,INDIRECT("A"&amp;N117),"")</f>
        <v/>
      </c>
      <c r="N117" s="10" t="e" cm="1">
        <f t="array" ref="N117">LARGE(($B$97:$B$128=$B$91)*ROW($B$97:$B$128),$B$92-J117+1)</f>
        <v>#NUM!</v>
      </c>
      <c r="Q117" s="10" t="str" cm="1">
        <f t="array" aca="1" ref="Q117" ca="1">IF(J117&lt;=$B$94,INDIRECT("A"&amp;U117),"")</f>
        <v/>
      </c>
      <c r="U117" s="10" t="e" cm="1">
        <f t="array" ref="U117">LARGE(($B$97:$B$128=$B$93)*ROW($B$97:$B$128),$B$94-J117+1)</f>
        <v>#NUM!</v>
      </c>
    </row>
    <row r="118" spans="1:21">
      <c r="A118" s="6" t="str">
        <f>A46</f>
        <v>Canadá</v>
      </c>
      <c r="B118" s="6">
        <f>G46</f>
        <v>4</v>
      </c>
      <c r="C118" s="6" t="str">
        <f t="shared" si="96"/>
        <v>Canadá</v>
      </c>
      <c r="J118" s="4">
        <v>22</v>
      </c>
      <c r="K118" s="10" t="str" cm="1">
        <f t="array" aca="1" ref="K118" ca="1">IF(J118&lt;=$B$92,INDIRECT("A"&amp;N118),"")</f>
        <v/>
      </c>
      <c r="N118" s="10" t="e" cm="1">
        <f t="array" ref="N118">LARGE(($B$97:$B$128=$B$91)*ROW($B$97:$B$128),$B$92-J118+1)</f>
        <v>#NUM!</v>
      </c>
      <c r="Q118" s="10" t="str" cm="1">
        <f t="array" aca="1" ref="Q118" ca="1">IF(J118&lt;=$B$94,INDIRECT("A"&amp;U118),"")</f>
        <v/>
      </c>
      <c r="U118" s="10" t="e" cm="1">
        <f t="array" ref="U118">LARGE(($B$97:$B$128=$B$93)*ROW($B$97:$B$128),$B$94-J118+1)</f>
        <v>#NUM!</v>
      </c>
    </row>
    <row r="119" spans="1:21">
      <c r="A119" s="6" t="str">
        <f>A47</f>
        <v>Marrocos</v>
      </c>
      <c r="B119" s="6">
        <f>G47</f>
        <v>4</v>
      </c>
      <c r="C119" s="6" t="str">
        <f t="shared" si="96"/>
        <v>Marrocos</v>
      </c>
      <c r="J119" s="4">
        <v>23</v>
      </c>
      <c r="K119" s="10" t="str" cm="1">
        <f t="array" aca="1" ref="K119" ca="1">IF(J119&lt;=$B$92,INDIRECT("A"&amp;N119),"")</f>
        <v/>
      </c>
      <c r="N119" s="10" t="e" cm="1">
        <f t="array" ref="N119">LARGE(($B$97:$B$128=$B$91)*ROW($B$97:$B$128),$B$92-J119+1)</f>
        <v>#NUM!</v>
      </c>
      <c r="Q119" s="10" t="str" cm="1">
        <f t="array" aca="1" ref="Q119" ca="1">IF(J119&lt;=$B$94,INDIRECT("A"&amp;U119),"")</f>
        <v/>
      </c>
      <c r="U119" s="10" t="e" cm="1">
        <f t="array" ref="U119">LARGE(($B$97:$B$128=$B$93)*ROW($B$97:$B$128),$B$94-J119+1)</f>
        <v>#NUM!</v>
      </c>
    </row>
    <row r="120" spans="1:21">
      <c r="A120" s="6" t="str">
        <f>A48</f>
        <v>Croácia</v>
      </c>
      <c r="B120" s="6">
        <f>G48</f>
        <v>7</v>
      </c>
      <c r="C120" s="6" t="str">
        <f t="shared" si="96"/>
        <v>Croácia</v>
      </c>
      <c r="J120" s="4">
        <v>24</v>
      </c>
      <c r="K120" s="10" t="str" cm="1">
        <f t="array" aca="1" ref="K120" ca="1">IF(J120&lt;=$B$92,INDIRECT("A"&amp;N120),"")</f>
        <v/>
      </c>
      <c r="N120" s="10" t="e" cm="1">
        <f t="array" ref="N120">LARGE(($B$97:$B$128=$B$91)*ROW($B$97:$B$128),$B$92-J120+1)</f>
        <v>#NUM!</v>
      </c>
      <c r="Q120" s="10" t="str" cm="1">
        <f t="array" aca="1" ref="Q120" ca="1">IF(J120&lt;=$B$94,INDIRECT("A"&amp;U120),"")</f>
        <v/>
      </c>
      <c r="U120" s="10" t="e" cm="1">
        <f t="array" ref="U120">LARGE(($B$97:$B$128=$B$93)*ROW($B$97:$B$128),$B$94-J120+1)</f>
        <v>#NUM!</v>
      </c>
    </row>
    <row r="121" spans="1:21">
      <c r="A121" s="6" t="str">
        <f>A53</f>
        <v>Brasil</v>
      </c>
      <c r="B121" s="6">
        <f>G53</f>
        <v>8</v>
      </c>
      <c r="C121" s="6" t="str">
        <f t="shared" si="96"/>
        <v>Brasil</v>
      </c>
      <c r="J121" s="4">
        <v>25</v>
      </c>
      <c r="K121" s="10" t="str" cm="1">
        <f t="array" aca="1" ref="K121" ca="1">IF(J121&lt;=$B$92,INDIRECT("A"&amp;N121),"")</f>
        <v/>
      </c>
      <c r="N121" s="10" t="e" cm="1">
        <f t="array" ref="N121">LARGE(($B$97:$B$128=$B$91)*ROW($B$97:$B$128),$B$92-J121+1)</f>
        <v>#NUM!</v>
      </c>
      <c r="Q121" s="10" t="str" cm="1">
        <f t="array" aca="1" ref="Q121" ca="1">IF(J121&lt;=$B$94,INDIRECT("A"&amp;U121),"")</f>
        <v/>
      </c>
      <c r="U121" s="10" t="e" cm="1">
        <f t="array" ref="U121">LARGE(($B$97:$B$128=$B$93)*ROW($B$97:$B$128),$B$94-J121+1)</f>
        <v>#NUM!</v>
      </c>
    </row>
    <row r="122" spans="1:21">
      <c r="A122" s="6" t="str">
        <f>A54</f>
        <v>Sérvia</v>
      </c>
      <c r="B122" s="6">
        <f>G54</f>
        <v>3</v>
      </c>
      <c r="C122" s="6" t="str">
        <f t="shared" si="96"/>
        <v>Sérvia</v>
      </c>
      <c r="J122" s="4">
        <v>26</v>
      </c>
      <c r="K122" s="10" t="str" cm="1">
        <f t="array" aca="1" ref="K122" ca="1">IF(J122&lt;=$B$92,INDIRECT("A"&amp;N122),"")</f>
        <v/>
      </c>
      <c r="N122" s="10" t="e" cm="1">
        <f t="array" ref="N122">LARGE(($B$97:$B$128=$B$91)*ROW($B$97:$B$128),$B$92-J122+1)</f>
        <v>#NUM!</v>
      </c>
      <c r="Q122" s="10" t="str" cm="1">
        <f t="array" aca="1" ref="Q122" ca="1">IF(J122&lt;=$B$94,INDIRECT("A"&amp;U122),"")</f>
        <v/>
      </c>
      <c r="U122" s="10" t="e" cm="1">
        <f t="array" ref="U122">LARGE(($B$97:$B$128=$B$93)*ROW($B$97:$B$128),$B$94-J122+1)</f>
        <v>#NUM!</v>
      </c>
    </row>
    <row r="123" spans="1:21">
      <c r="A123" s="6" t="str">
        <f>A55</f>
        <v>Suiça</v>
      </c>
      <c r="B123" s="6">
        <f>G55</f>
        <v>4</v>
      </c>
      <c r="C123" s="6" t="str">
        <f t="shared" si="96"/>
        <v>Suiça</v>
      </c>
      <c r="J123" s="4">
        <v>27</v>
      </c>
      <c r="K123" s="10" t="str" cm="1">
        <f t="array" aca="1" ref="K123" ca="1">IF(J123&lt;=$B$92,INDIRECT("A"&amp;N123),"")</f>
        <v/>
      </c>
      <c r="N123" s="10" t="e" cm="1">
        <f t="array" ref="N123">LARGE(($B$97:$B$128=$B$91)*ROW($B$97:$B$128),$B$92-J123+1)</f>
        <v>#NUM!</v>
      </c>
      <c r="Q123" s="10" t="str" cm="1">
        <f t="array" aca="1" ref="Q123" ca="1">IF(J123&lt;=$B$94,INDIRECT("A"&amp;U123),"")</f>
        <v/>
      </c>
      <c r="U123" s="10" t="e" cm="1">
        <f t="array" ref="U123">LARGE(($B$97:$B$128=$B$93)*ROW($B$97:$B$128),$B$94-J123+1)</f>
        <v>#NUM!</v>
      </c>
    </row>
    <row r="124" spans="1:21">
      <c r="A124" s="6" t="str">
        <f>A56</f>
        <v>Camarões</v>
      </c>
      <c r="B124" s="6">
        <f>G56</f>
        <v>2</v>
      </c>
      <c r="C124" s="6" t="str">
        <f t="shared" si="96"/>
        <v>Camarões</v>
      </c>
      <c r="J124" s="4">
        <v>28</v>
      </c>
      <c r="K124" s="10" t="str" cm="1">
        <f t="array" aca="1" ref="K124" ca="1">IF(J124&lt;=$B$92,INDIRECT("A"&amp;N124),"")</f>
        <v/>
      </c>
      <c r="N124" s="10" t="e" cm="1">
        <f t="array" ref="N124">LARGE(($B$97:$B$128=$B$91)*ROW($B$97:$B$128),$B$92-J124+1)</f>
        <v>#NUM!</v>
      </c>
      <c r="Q124" s="10" t="str" cm="1">
        <f t="array" aca="1" ref="Q124" ca="1">IF(J124&lt;=$B$94,INDIRECT("A"&amp;U124),"")</f>
        <v/>
      </c>
      <c r="U124" s="10" t="e" cm="1">
        <f t="array" ref="U124">LARGE(($B$97:$B$128=$B$93)*ROW($B$97:$B$128),$B$94-J124+1)</f>
        <v>#NUM!</v>
      </c>
    </row>
    <row r="125" spans="1:21">
      <c r="A125" s="6" t="str">
        <f>A61</f>
        <v>Portugal</v>
      </c>
      <c r="B125" s="6">
        <f>G61</f>
        <v>8</v>
      </c>
      <c r="C125" s="6" t="str">
        <f t="shared" si="96"/>
        <v>Portugal</v>
      </c>
      <c r="J125" s="4">
        <v>29</v>
      </c>
      <c r="K125" s="10" t="str" cm="1">
        <f t="array" aca="1" ref="K125" ca="1">IF(J125&lt;=$B$92,INDIRECT("A"&amp;N125),"")</f>
        <v/>
      </c>
      <c r="N125" s="10" t="e" cm="1">
        <f t="array" ref="N125">LARGE(($B$97:$B$128=$B$91)*ROW($B$97:$B$128),$B$92-J125+1)</f>
        <v>#NUM!</v>
      </c>
      <c r="Q125" s="10" t="str" cm="1">
        <f t="array" aca="1" ref="Q125" ca="1">IF(J125&lt;=$B$94,INDIRECT("A"&amp;U125),"")</f>
        <v/>
      </c>
      <c r="U125" s="10" t="e" cm="1">
        <f t="array" ref="U125">LARGE(($B$97:$B$128=$B$93)*ROW($B$97:$B$128),$B$94-J125+1)</f>
        <v>#NUM!</v>
      </c>
    </row>
    <row r="126" spans="1:21">
      <c r="A126" s="6" t="str">
        <f>A62</f>
        <v>Gana</v>
      </c>
      <c r="B126" s="6">
        <f>G62</f>
        <v>3</v>
      </c>
      <c r="C126" s="6" t="str">
        <f t="shared" si="96"/>
        <v>Gana</v>
      </c>
      <c r="J126" s="4">
        <v>30</v>
      </c>
      <c r="K126" s="10" t="str" cm="1">
        <f t="array" aca="1" ref="K126" ca="1">IF(J126&lt;=$B$92,INDIRECT("A"&amp;N126),"")</f>
        <v/>
      </c>
      <c r="N126" s="10" t="e" cm="1">
        <f t="array" ref="N126">LARGE(($B$97:$B$128=$B$91)*ROW($B$97:$B$128),$B$92-J126+1)</f>
        <v>#NUM!</v>
      </c>
      <c r="Q126" s="10" t="str" cm="1">
        <f t="array" aca="1" ref="Q126" ca="1">IF(J126&lt;=$B$94,INDIRECT("A"&amp;U126),"")</f>
        <v/>
      </c>
      <c r="U126" s="10" t="e" cm="1">
        <f t="array" ref="U126">LARGE(($B$97:$B$128=$B$93)*ROW($B$97:$B$128),$B$94-J126+1)</f>
        <v>#NUM!</v>
      </c>
    </row>
    <row r="127" spans="1:21">
      <c r="A127" s="6" t="str">
        <f>A63</f>
        <v>Uruguai</v>
      </c>
      <c r="B127" s="6">
        <f>G63</f>
        <v>3</v>
      </c>
      <c r="C127" s="6" t="str">
        <f t="shared" si="96"/>
        <v>Uruguai</v>
      </c>
      <c r="J127" s="4">
        <v>31</v>
      </c>
      <c r="K127" s="10" t="str" cm="1">
        <f t="array" aca="1" ref="K127" ca="1">IF(J127&lt;=$B$92,INDIRECT("A"&amp;N127),"")</f>
        <v/>
      </c>
      <c r="N127" s="10" t="e" cm="1">
        <f t="array" ref="N127">LARGE(($B$97:$B$128=$B$91)*ROW($B$97:$B$128),$B$92-J127+1)</f>
        <v>#NUM!</v>
      </c>
      <c r="Q127" s="10" t="str" cm="1">
        <f t="array" aca="1" ref="Q127" ca="1">IF(J127&lt;=$B$94,INDIRECT("A"&amp;U127),"")</f>
        <v/>
      </c>
      <c r="U127" s="10" t="e" cm="1">
        <f t="array" ref="U127">LARGE(($B$97:$B$128=$B$93)*ROW($B$97:$B$128),$B$94-J127+1)</f>
        <v>#NUM!</v>
      </c>
    </row>
    <row r="128" spans="1:21">
      <c r="A128" s="6" t="str">
        <f>A64</f>
        <v>Coreia do Sul</v>
      </c>
      <c r="B128" s="6">
        <f>G64</f>
        <v>3</v>
      </c>
      <c r="C128" s="6" t="str">
        <f t="shared" si="96"/>
        <v>Coreia do Sul</v>
      </c>
      <c r="J128" s="4">
        <v>32</v>
      </c>
      <c r="K128" s="10" t="str" cm="1">
        <f t="array" aca="1" ref="K128" ca="1">IF(J128&lt;=$B$92,INDIRECT("A"&amp;N128),"")</f>
        <v/>
      </c>
      <c r="N128" s="10" t="e" cm="1">
        <f t="array" ref="N128">LARGE(($B$97:$B$128=$B$91)*ROW($B$97:$B$128),$B$92-J128+1)</f>
        <v>#NUM!</v>
      </c>
      <c r="Q128" s="10" t="str" cm="1">
        <f t="array" aca="1" ref="Q128" ca="1">IF(J128&lt;=$B$94,INDIRECT("A"&amp;U128),"")</f>
        <v/>
      </c>
      <c r="U128" s="10" t="e" cm="1">
        <f t="array" ref="U128">LARGE(($B$97:$B$128=$B$93)*ROW($B$97:$B$128),$B$94-J128+1)</f>
        <v>#NUM!</v>
      </c>
    </row>
  </sheetData>
  <sheetProtection selectLockedCells="1" selectUnlockedCells="1"/>
  <mergeCells count="8">
    <mergeCell ref="B51:I51"/>
    <mergeCell ref="B59:I59"/>
    <mergeCell ref="B3:I3"/>
    <mergeCell ref="B11:I11"/>
    <mergeCell ref="B19:I19"/>
    <mergeCell ref="B27:I27"/>
    <mergeCell ref="B35:I35"/>
    <mergeCell ref="B43:I43"/>
  </mergeCells>
  <hyperlinks>
    <hyperlink ref="A1" r:id="rId1" xr:uid="{00000000-0004-0000-0200-000000000000}"/>
  </hyperlinks>
  <pageMargins left="0.78749999999999998" right="0.78749999999999998" top="0.98402777777777772" bottom="0.98402777777777772" header="0.51180555555555551" footer="0.51180555555555551"/>
  <pageSetup paperSize="9" firstPageNumber="0" orientation="portrait" horizontalDpi="300" verticalDpi="300" r:id="rId2"/>
  <headerFooter alignWithMargins="0"/>
  <ignoredErrors>
    <ignoredError sqref="AZ70 AZ74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H16"/>
  <sheetViews>
    <sheetView showGridLines="0" workbookViewId="0">
      <selection activeCell="E70" sqref="E70"/>
    </sheetView>
  </sheetViews>
  <sheetFormatPr baseColWidth="10" defaultColWidth="9.1640625" defaultRowHeight="13"/>
  <cols>
    <col min="1" max="1" width="16" style="231" customWidth="1"/>
    <col min="2" max="2" width="18.5" style="231" customWidth="1"/>
    <col min="3" max="3" width="16.33203125" style="231" customWidth="1"/>
    <col min="4" max="4" width="18.5" style="231" customWidth="1"/>
    <col min="5" max="5" width="17" style="231" customWidth="1"/>
    <col min="6" max="6" width="20.5" style="231" customWidth="1"/>
    <col min="7" max="7" width="19.1640625" style="231" customWidth="1"/>
    <col min="8" max="8" width="21.1640625" style="231" customWidth="1"/>
    <col min="9" max="16384" width="9.1640625" style="231"/>
  </cols>
  <sheetData>
    <row r="1" spans="1:8" ht="20" customHeight="1">
      <c r="A1" s="229" t="s">
        <v>71</v>
      </c>
      <c r="B1" s="230" t="s">
        <v>72</v>
      </c>
      <c r="C1" s="230" t="s">
        <v>73</v>
      </c>
      <c r="D1" s="230" t="s">
        <v>74</v>
      </c>
      <c r="E1" s="230" t="s">
        <v>75</v>
      </c>
      <c r="F1" s="230" t="s">
        <v>76</v>
      </c>
      <c r="G1" s="230" t="s">
        <v>77</v>
      </c>
      <c r="H1" s="230" t="s">
        <v>78</v>
      </c>
    </row>
    <row r="2" spans="1:8" ht="20" customHeight="1">
      <c r="A2" s="232" t="s">
        <v>79</v>
      </c>
      <c r="B2" s="233" t="s">
        <v>203</v>
      </c>
      <c r="C2" s="233" t="s">
        <v>80</v>
      </c>
      <c r="D2" s="233" t="s">
        <v>128</v>
      </c>
      <c r="E2" s="233" t="s">
        <v>129</v>
      </c>
      <c r="F2" s="233" t="s">
        <v>81</v>
      </c>
      <c r="G2" s="233" t="s">
        <v>82</v>
      </c>
      <c r="H2" s="233" t="s">
        <v>83</v>
      </c>
    </row>
    <row r="3" spans="1:8" ht="20" customHeight="1">
      <c r="A3" s="232" t="s">
        <v>126</v>
      </c>
      <c r="B3" s="233" t="s">
        <v>84</v>
      </c>
      <c r="C3" s="233" t="s">
        <v>85</v>
      </c>
      <c r="D3" s="233" t="s">
        <v>86</v>
      </c>
      <c r="E3" s="233" t="s">
        <v>87</v>
      </c>
      <c r="F3" s="233" t="s">
        <v>88</v>
      </c>
      <c r="G3" s="233" t="s">
        <v>89</v>
      </c>
      <c r="H3" s="233" t="s">
        <v>90</v>
      </c>
    </row>
    <row r="4" spans="1:8" ht="20" customHeight="1">
      <c r="A4" s="234" t="s">
        <v>91</v>
      </c>
      <c r="B4" s="235" t="s">
        <v>127</v>
      </c>
      <c r="C4" s="235" t="s">
        <v>92</v>
      </c>
      <c r="D4" s="235" t="s">
        <v>93</v>
      </c>
      <c r="E4" s="235" t="s">
        <v>94</v>
      </c>
      <c r="F4" s="235" t="s">
        <v>95</v>
      </c>
      <c r="G4" s="235" t="s">
        <v>96</v>
      </c>
      <c r="H4" s="235" t="s">
        <v>97</v>
      </c>
    </row>
    <row r="5" spans="1:8" ht="20.25" customHeight="1">
      <c r="A5" s="236" t="s">
        <v>57</v>
      </c>
      <c r="B5" s="237" t="s">
        <v>58</v>
      </c>
      <c r="C5" s="238" t="s">
        <v>59</v>
      </c>
      <c r="D5" s="239" t="s">
        <v>60</v>
      </c>
      <c r="E5" s="240" t="s">
        <v>61</v>
      </c>
      <c r="F5" s="241" t="s">
        <v>62</v>
      </c>
      <c r="G5" s="242" t="s">
        <v>63</v>
      </c>
      <c r="H5" s="243" t="s">
        <v>64</v>
      </c>
    </row>
    <row r="6" spans="1:8">
      <c r="A6" s="244"/>
      <c r="B6" s="244"/>
      <c r="C6" s="244"/>
      <c r="D6" s="244"/>
      <c r="E6" s="244"/>
      <c r="F6" s="244"/>
      <c r="G6" s="244"/>
      <c r="H6" s="244"/>
    </row>
    <row r="7" spans="1:8">
      <c r="A7" s="244"/>
      <c r="B7" s="244"/>
      <c r="C7" s="244"/>
      <c r="D7" s="244"/>
      <c r="E7" s="244"/>
      <c r="F7" s="244"/>
      <c r="G7" s="244"/>
      <c r="H7" s="244"/>
    </row>
    <row r="8" spans="1:8" ht="15.75" customHeight="1">
      <c r="A8" s="428" t="s">
        <v>51</v>
      </c>
      <c r="B8" s="429"/>
      <c r="C8" s="418" t="str">
        <f>Tabela!K99</f>
        <v>www.guiadecompra.com</v>
      </c>
      <c r="D8" s="418"/>
      <c r="E8" s="432" t="s">
        <v>55</v>
      </c>
      <c r="F8" s="433"/>
      <c r="G8" s="422" t="s">
        <v>52</v>
      </c>
      <c r="H8" s="423"/>
    </row>
    <row r="9" spans="1:8" ht="17.25" customHeight="1">
      <c r="A9" s="245"/>
      <c r="B9" s="246"/>
      <c r="C9" s="246"/>
      <c r="D9" s="246"/>
      <c r="E9" s="432"/>
      <c r="F9" s="433"/>
      <c r="G9" s="424"/>
      <c r="H9" s="425"/>
    </row>
    <row r="10" spans="1:8" ht="16.5" customHeight="1">
      <c r="A10" s="430" t="s">
        <v>56</v>
      </c>
      <c r="B10" s="431"/>
      <c r="C10" s="431"/>
      <c r="D10" s="431"/>
      <c r="E10" s="432"/>
      <c r="F10" s="433"/>
      <c r="G10" s="424"/>
      <c r="H10" s="425"/>
    </row>
    <row r="11" spans="1:8" ht="18" customHeight="1">
      <c r="A11" s="247"/>
      <c r="B11" s="248"/>
      <c r="C11" s="248"/>
      <c r="D11" s="248"/>
      <c r="E11" s="432"/>
      <c r="F11" s="433"/>
      <c r="G11" s="426"/>
      <c r="H11" s="427"/>
    </row>
    <row r="12" spans="1:8" ht="20.25" customHeight="1">
      <c r="A12" s="249"/>
      <c r="B12" s="244"/>
      <c r="C12" s="244"/>
      <c r="D12" s="244"/>
      <c r="E12" s="244"/>
      <c r="F12" s="244"/>
      <c r="G12" s="244"/>
      <c r="H12" s="244"/>
    </row>
    <row r="13" spans="1:8" ht="21" customHeight="1" thickBot="1">
      <c r="A13" s="421" t="s">
        <v>54</v>
      </c>
      <c r="B13" s="421"/>
      <c r="C13" s="421"/>
      <c r="D13" s="250"/>
      <c r="E13" s="244"/>
      <c r="F13" s="244"/>
      <c r="G13" s="244"/>
      <c r="H13" s="244"/>
    </row>
    <row r="14" spans="1:8" ht="21.75" customHeight="1" thickBot="1">
      <c r="A14" s="419" t="s">
        <v>65</v>
      </c>
      <c r="B14" s="420"/>
      <c r="C14" s="420"/>
      <c r="D14" s="226"/>
      <c r="E14" s="251"/>
      <c r="F14" s="252"/>
      <c r="G14" s="253"/>
      <c r="H14" s="254"/>
    </row>
    <row r="15" spans="1:8">
      <c r="A15" s="244"/>
      <c r="B15" s="244"/>
      <c r="C15" s="244"/>
      <c r="D15" s="244"/>
      <c r="E15" s="244"/>
      <c r="F15" s="244"/>
      <c r="G15" s="244"/>
      <c r="H15" s="244"/>
    </row>
    <row r="16" spans="1:8">
      <c r="A16" s="244"/>
      <c r="B16" s="244"/>
      <c r="C16" s="244"/>
      <c r="D16" s="244"/>
      <c r="E16" s="244"/>
      <c r="F16" s="244"/>
      <c r="G16" s="244"/>
      <c r="H16" s="244"/>
    </row>
  </sheetData>
  <sheetProtection sheet="1" objects="1" scenarios="1"/>
  <mergeCells count="7">
    <mergeCell ref="C8:D8"/>
    <mergeCell ref="A14:C14"/>
    <mergeCell ref="A13:C13"/>
    <mergeCell ref="G8:H11"/>
    <mergeCell ref="A8:B8"/>
    <mergeCell ref="A10:D10"/>
    <mergeCell ref="E8:F11"/>
  </mergeCells>
  <hyperlinks>
    <hyperlink ref="C8" r:id="rId1" display="www.guiadcompra.com" xr:uid="{00000000-0004-0000-0300-000000000000}"/>
    <hyperlink ref="A14" r:id="rId2" display="http://www.guiadecompra.com/copa-do-mundo/" xr:uid="{00000000-0004-0000-0300-000001000000}"/>
    <hyperlink ref="C8:D8" r:id="rId3" display="https://www.guiadcompra.com/" xr:uid="{00000000-0004-0000-0300-000002000000}"/>
    <hyperlink ref="A14:C14" r:id="rId4" display="https://www.guiadecompra.com/copa-do-mundo/" xr:uid="{00000000-0004-0000-0300-000003000000}"/>
    <hyperlink ref="E8:F11" location="Tabela!A1" display="Ir Para a Tabela" xr:uid="{00000000-0004-0000-0300-000004000000}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>
    <tabColor rgb="FFFFFF00"/>
  </sheetPr>
  <dimension ref="A1:F27"/>
  <sheetViews>
    <sheetView showGridLines="0" workbookViewId="0">
      <selection activeCell="F12" sqref="F12"/>
    </sheetView>
  </sheetViews>
  <sheetFormatPr baseColWidth="10" defaultColWidth="8.83203125" defaultRowHeight="13"/>
  <cols>
    <col min="1" max="1" width="4.1640625" customWidth="1"/>
    <col min="2" max="2" width="52.5" customWidth="1"/>
    <col min="3" max="3" width="6.1640625" customWidth="1"/>
    <col min="4" max="4" width="53" customWidth="1"/>
    <col min="6" max="6" width="50.6640625" customWidth="1"/>
  </cols>
  <sheetData>
    <row r="1" spans="1:6" ht="3" customHeight="1"/>
    <row r="2" spans="1:6" ht="12.75" customHeight="1">
      <c r="B2" s="435" t="s">
        <v>98</v>
      </c>
      <c r="C2" s="436"/>
      <c r="D2" s="437" t="s">
        <v>0</v>
      </c>
    </row>
    <row r="3" spans="1:6" ht="12.75" customHeight="1">
      <c r="B3" s="435"/>
      <c r="C3" s="436"/>
      <c r="D3" s="438"/>
    </row>
    <row r="4" spans="1:6" ht="12.75" customHeight="1">
      <c r="A4" s="255"/>
      <c r="B4" s="439" t="s">
        <v>99</v>
      </c>
      <c r="C4" s="294"/>
      <c r="D4" s="439" t="s">
        <v>100</v>
      </c>
    </row>
    <row r="5" spans="1:6" ht="12.75" customHeight="1">
      <c r="A5" s="255"/>
      <c r="B5" s="439"/>
      <c r="C5" s="294"/>
      <c r="D5" s="439"/>
      <c r="F5" s="434"/>
    </row>
    <row r="6" spans="1:6" ht="12.75" customHeight="1">
      <c r="A6" s="255"/>
      <c r="B6" s="439"/>
      <c r="C6" s="294"/>
      <c r="D6" s="439"/>
      <c r="F6" s="434"/>
    </row>
    <row r="7" spans="1:6" ht="15">
      <c r="A7" s="255"/>
      <c r="B7" s="295"/>
      <c r="C7" s="294"/>
      <c r="D7" s="296"/>
      <c r="F7" s="434"/>
    </row>
    <row r="8" spans="1:6" ht="12.75" customHeight="1">
      <c r="A8" s="255"/>
      <c r="B8" s="439" t="s">
        <v>101</v>
      </c>
      <c r="C8" s="294"/>
      <c r="D8" s="439" t="s">
        <v>102</v>
      </c>
      <c r="F8" s="440"/>
    </row>
    <row r="9" spans="1:6" ht="12.75" customHeight="1">
      <c r="A9" s="255"/>
      <c r="B9" s="439"/>
      <c r="C9" s="294"/>
      <c r="D9" s="439"/>
      <c r="F9" s="440"/>
    </row>
    <row r="10" spans="1:6" ht="12.75" customHeight="1">
      <c r="A10" s="255"/>
      <c r="B10" s="439"/>
      <c r="C10" s="294"/>
      <c r="D10" s="439"/>
      <c r="F10" s="440"/>
    </row>
    <row r="11" spans="1:6" ht="14">
      <c r="A11" s="255"/>
      <c r="B11" s="295"/>
      <c r="C11" s="294"/>
      <c r="D11" s="297"/>
    </row>
    <row r="12" spans="1:6" ht="12.75" customHeight="1">
      <c r="A12" s="255"/>
      <c r="B12" s="439" t="s">
        <v>103</v>
      </c>
      <c r="C12" s="294"/>
      <c r="D12" s="439" t="s">
        <v>104</v>
      </c>
    </row>
    <row r="13" spans="1:6" ht="12.75" customHeight="1">
      <c r="A13" s="255"/>
      <c r="B13" s="439"/>
      <c r="C13" s="294"/>
      <c r="D13" s="439"/>
    </row>
    <row r="14" spans="1:6" ht="12.75" customHeight="1">
      <c r="A14" s="255"/>
      <c r="B14" s="439"/>
      <c r="C14" s="294"/>
      <c r="D14" s="439"/>
    </row>
    <row r="15" spans="1:6" ht="14">
      <c r="A15" s="255"/>
      <c r="B15" s="295"/>
      <c r="C15" s="294"/>
      <c r="D15" s="295"/>
    </row>
    <row r="16" spans="1:6" ht="12.75" customHeight="1">
      <c r="A16" s="255"/>
      <c r="B16" s="439" t="s">
        <v>105</v>
      </c>
      <c r="C16" s="294"/>
      <c r="D16" s="439" t="s">
        <v>106</v>
      </c>
    </row>
    <row r="17" spans="1:4" ht="12.75" customHeight="1">
      <c r="A17" s="255"/>
      <c r="B17" s="439"/>
      <c r="C17" s="294"/>
      <c r="D17" s="439"/>
    </row>
    <row r="18" spans="1:4" ht="12.75" customHeight="1">
      <c r="A18" s="255"/>
      <c r="B18" s="439"/>
      <c r="C18" s="294"/>
      <c r="D18" s="439"/>
    </row>
    <row r="19" spans="1:4" ht="14">
      <c r="A19" s="255"/>
      <c r="B19" s="298"/>
      <c r="C19" s="294"/>
      <c r="D19" s="295"/>
    </row>
    <row r="20" spans="1:4" ht="12.75" customHeight="1">
      <c r="A20" s="255"/>
      <c r="B20" s="439" t="s">
        <v>107</v>
      </c>
      <c r="C20" s="294"/>
      <c r="D20" s="442" t="s">
        <v>108</v>
      </c>
    </row>
    <row r="21" spans="1:4" ht="12.75" customHeight="1">
      <c r="A21" s="255"/>
      <c r="B21" s="439"/>
      <c r="C21" s="294"/>
      <c r="D21" s="442"/>
    </row>
    <row r="22" spans="1:4" ht="12.75" customHeight="1">
      <c r="A22" s="255"/>
      <c r="B22" s="439"/>
      <c r="C22" s="294"/>
      <c r="D22" s="442"/>
    </row>
    <row r="23" spans="1:4">
      <c r="B23" s="299"/>
      <c r="C23" s="300"/>
      <c r="D23" s="301"/>
    </row>
    <row r="24" spans="1:4" ht="15">
      <c r="B24" s="441"/>
      <c r="C24" s="441"/>
      <c r="D24" s="441"/>
    </row>
    <row r="25" spans="1:4" ht="15">
      <c r="B25" s="302"/>
      <c r="C25" s="303"/>
      <c r="D25" s="300" t="s">
        <v>109</v>
      </c>
    </row>
    <row r="26" spans="1:4" ht="25.5" customHeight="1">
      <c r="B26" s="304" t="s">
        <v>110</v>
      </c>
    </row>
    <row r="27" spans="1:4" ht="16">
      <c r="B27" s="169"/>
    </row>
  </sheetData>
  <sheetProtection sheet="1" objects="1" scenarios="1"/>
  <mergeCells count="16">
    <mergeCell ref="F8:F10"/>
    <mergeCell ref="B24:D24"/>
    <mergeCell ref="B12:B14"/>
    <mergeCell ref="B16:B18"/>
    <mergeCell ref="D16:D18"/>
    <mergeCell ref="B20:B22"/>
    <mergeCell ref="D20:D22"/>
    <mergeCell ref="D12:D14"/>
    <mergeCell ref="B8:B10"/>
    <mergeCell ref="D8:D10"/>
    <mergeCell ref="F5:F7"/>
    <mergeCell ref="B2:B3"/>
    <mergeCell ref="C2:C3"/>
    <mergeCell ref="D2:D3"/>
    <mergeCell ref="B4:B6"/>
    <mergeCell ref="D4:D6"/>
  </mergeCells>
  <hyperlinks>
    <hyperlink ref="D2" r:id="rId1" xr:uid="{00000000-0004-0000-0400-000000000000}"/>
    <hyperlink ref="B4:B6" r:id="rId2" display="Planilha para custo de construção e reformas" xr:uid="{00000000-0004-0000-0400-000001000000}"/>
    <hyperlink ref="B8:B10" r:id="rId3" display="Planilha para Controle de Estoque" xr:uid="{00000000-0004-0000-0400-000002000000}"/>
    <hyperlink ref="B12:B14" r:id="rId4" display="Planilha de Cotação de Preços (5 fornecedores)" xr:uid="{00000000-0004-0000-0400-000003000000}"/>
    <hyperlink ref="B16:B18" r:id="rId5" display="Planilha Controle de Débitos de Clientes" xr:uid="{00000000-0004-0000-0400-000004000000}"/>
    <hyperlink ref="B20:B22" r:id="rId6" display="Planilha de Estoque e Vendas - Controle Total" xr:uid="{00000000-0004-0000-0400-000005000000}"/>
    <hyperlink ref="D20:D22" r:id="rId7" display="Pacote de Planilhas com 18 Planilhas de Excel" xr:uid="{00000000-0004-0000-0400-000006000000}"/>
    <hyperlink ref="D8:D10" r:id="rId8" display="Planilha de Custo de Obras 2.0" xr:uid="{00000000-0004-0000-0400-000007000000}"/>
    <hyperlink ref="D4:D6" r:id="rId9" display="Planilha de Gerenciamento de Vendas" xr:uid="{00000000-0004-0000-0400-000008000000}"/>
    <hyperlink ref="D12:D14" r:id="rId10" display="Planilha de Fluxo de Caixa" xr:uid="{00000000-0004-0000-0400-000009000000}"/>
    <hyperlink ref="D16:D18" r:id="rId11" display="Planilha de Cotação (20 fornecedores e 500 itens)" xr:uid="{00000000-0004-0000-0400-00000A000000}"/>
    <hyperlink ref="B26" r:id="rId12" xr:uid="{00000000-0004-0000-0400-00000B000000}"/>
  </hyperlinks>
  <pageMargins left="0.511811024" right="0.511811024" top="0.78740157499999996" bottom="0.78740157499999996" header="0.31496062000000002" footer="0.31496062000000002"/>
  <pageSetup paperSize="9" orientation="portrait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23</vt:i4>
      </vt:variant>
    </vt:vector>
  </HeadingPairs>
  <TitlesOfParts>
    <vt:vector size="31" baseType="lpstr">
      <vt:lpstr>Regulamento</vt:lpstr>
      <vt:lpstr>Tabela</vt:lpstr>
      <vt:lpstr>Palpites extras</vt:lpstr>
      <vt:lpstr>Países</vt:lpstr>
      <vt:lpstr>   </vt:lpstr>
      <vt:lpstr>Jogo</vt:lpstr>
      <vt:lpstr>time</vt:lpstr>
      <vt:lpstr>Mais Tabelas</vt:lpstr>
      <vt:lpstr>B5I</vt:lpstr>
      <vt:lpstr>BR20I4</vt:lpstr>
      <vt:lpstr>Brasil</vt:lpstr>
      <vt:lpstr>Jogo!Copa</vt:lpstr>
      <vt:lpstr>D5I</vt:lpstr>
      <vt:lpstr>FIFA</vt:lpstr>
      <vt:lpstr>Grupo_A</vt:lpstr>
      <vt:lpstr>Grupo_AB</vt:lpstr>
      <vt:lpstr>Grupo_ABCD</vt:lpstr>
      <vt:lpstr>Grupo_B</vt:lpstr>
      <vt:lpstr>Grupo_C</vt:lpstr>
      <vt:lpstr>Grupo_D</vt:lpstr>
      <vt:lpstr>Grupo_E</vt:lpstr>
      <vt:lpstr>Grupo_EF</vt:lpstr>
      <vt:lpstr>Grupo_EFGH</vt:lpstr>
      <vt:lpstr>Grupo_F</vt:lpstr>
      <vt:lpstr>Grupo_G</vt:lpstr>
      <vt:lpstr>Grupo_Geral</vt:lpstr>
      <vt:lpstr>Grupo_GH</vt:lpstr>
      <vt:lpstr>Grupo_H</vt:lpstr>
      <vt:lpstr>Melhor_Ataque</vt:lpstr>
      <vt:lpstr>Pior_Ataque</vt:lpstr>
      <vt:lpstr>Sel_Melhor_Campanha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edivaldo</dc:creator>
  <cp:lastModifiedBy>Bruno Araújo</cp:lastModifiedBy>
  <dcterms:created xsi:type="dcterms:W3CDTF">2010-06-12T16:58:33Z</dcterms:created>
  <dcterms:modified xsi:type="dcterms:W3CDTF">2022-11-20T02:22:47Z</dcterms:modified>
</cp:coreProperties>
</file>